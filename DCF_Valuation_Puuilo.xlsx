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ttom\Desktop\Ohjelmointi\"/>
    </mc:Choice>
  </mc:AlternateContent>
  <xr:revisionPtr revIDLastSave="0" documentId="8_{E8888930-6FA0-4654-96BC-DA08D077F3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CF_Puuilo" sheetId="7" r:id="rId1"/>
    <sheet name="Analyysi" sheetId="1" r:id="rId2"/>
    <sheet name="Tuloslaskelma" sheetId="2" r:id="rId3"/>
    <sheet name="Tase" sheetId="3" r:id="rId4"/>
    <sheet name="Rahavirtalaskelma" sheetId="4" r:id="rId5"/>
    <sheet name="Hint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7" l="1"/>
  <c r="L20" i="7"/>
  <c r="F22" i="7" s="1"/>
  <c r="K20" i="7"/>
  <c r="J20" i="7"/>
  <c r="I20" i="7"/>
  <c r="H20" i="7"/>
  <c r="G20" i="7"/>
  <c r="F20" i="7"/>
  <c r="E20" i="7"/>
  <c r="L14" i="1"/>
  <c r="L20" i="1"/>
  <c r="H14" i="7"/>
  <c r="I14" i="7"/>
  <c r="J14" i="7"/>
  <c r="K14" i="7"/>
  <c r="K15" i="7" s="1"/>
  <c r="L14" i="7"/>
  <c r="G14" i="7"/>
  <c r="G15" i="7" s="1"/>
  <c r="L13" i="7"/>
  <c r="K13" i="7"/>
  <c r="H13" i="7"/>
  <c r="I13" i="7"/>
  <c r="J13" i="7"/>
  <c r="G13" i="7"/>
  <c r="L15" i="7"/>
  <c r="J15" i="7"/>
  <c r="H12" i="7"/>
  <c r="I12" i="7"/>
  <c r="J12" i="7"/>
  <c r="K12" i="7"/>
  <c r="L12" i="7"/>
  <c r="G12" i="7"/>
  <c r="H11" i="7"/>
  <c r="I11" i="7"/>
  <c r="J11" i="7"/>
  <c r="K11" i="7"/>
  <c r="L11" i="7"/>
  <c r="G11" i="7"/>
  <c r="H10" i="7"/>
  <c r="I10" i="7"/>
  <c r="J10" i="7"/>
  <c r="K10" i="7"/>
  <c r="L10" i="7"/>
  <c r="G10" i="7"/>
  <c r="K7" i="7"/>
  <c r="L7" i="7" s="1"/>
  <c r="H8" i="7"/>
  <c r="G8" i="7"/>
  <c r="H7" i="7"/>
  <c r="I7" i="7" s="1"/>
  <c r="J7" i="7" s="1"/>
  <c r="G7" i="7"/>
  <c r="B14" i="1"/>
  <c r="F15" i="7"/>
  <c r="E15" i="7"/>
  <c r="D15" i="7"/>
  <c r="F11" i="7"/>
  <c r="E11" i="7"/>
  <c r="D11" i="7"/>
  <c r="F9" i="7"/>
  <c r="E9" i="7"/>
  <c r="D9" i="7"/>
  <c r="F8" i="7"/>
  <c r="E8" i="7"/>
  <c r="B17" i="1"/>
  <c r="L12" i="1"/>
  <c r="L11" i="1"/>
  <c r="L8" i="1"/>
  <c r="F21" i="7" l="1"/>
  <c r="F23" i="7" s="1"/>
  <c r="F24" i="7" s="1"/>
  <c r="F25" i="7" s="1"/>
  <c r="H23" i="7" s="1"/>
  <c r="I15" i="7"/>
  <c r="H15" i="7"/>
  <c r="L9" i="1"/>
  <c r="L10" i="1" s="1"/>
</calcChain>
</file>

<file path=xl/sharedStrings.xml><?xml version="1.0" encoding="utf-8"?>
<sst xmlns="http://schemas.openxmlformats.org/spreadsheetml/2006/main" count="257" uniqueCount="241">
  <si>
    <t>symbol</t>
  </si>
  <si>
    <t>currentPrice</t>
  </si>
  <si>
    <t>beta</t>
  </si>
  <si>
    <t>trailingPE</t>
  </si>
  <si>
    <t>priceToBook</t>
  </si>
  <si>
    <t>bookValue</t>
  </si>
  <si>
    <t>trailingEps</t>
  </si>
  <si>
    <t>quickRatio</t>
  </si>
  <si>
    <t>currentRatio</t>
  </si>
  <si>
    <t>returnOnEquity</t>
  </si>
  <si>
    <t>freeCashflow</t>
  </si>
  <si>
    <t>revenueGrowth</t>
  </si>
  <si>
    <t>PUUILO.HE</t>
  </si>
  <si>
    <t>TaxEffectOfUnusualItems</t>
  </si>
  <si>
    <t>TaxRateForCalcs</t>
  </si>
  <si>
    <t>NormalizedEBITDA</t>
  </si>
  <si>
    <t>TotalUnusualItems</t>
  </si>
  <si>
    <t>TotalUnusualItemsExcludingGoodwill</t>
  </si>
  <si>
    <t>NetIncomeFromContinuingOperationNetMinorityInterest</t>
  </si>
  <si>
    <t>ReconciledDepreciation</t>
  </si>
  <si>
    <t>ReconciledCostOfRevenue</t>
  </si>
  <si>
    <t>EBITDA</t>
  </si>
  <si>
    <t>EBIT</t>
  </si>
  <si>
    <t>NetInterestIncome</t>
  </si>
  <si>
    <t>InterestExpense</t>
  </si>
  <si>
    <t>InterestIncome</t>
  </si>
  <si>
    <t>NormalizedIncome</t>
  </si>
  <si>
    <t>NetIncomeFromContinuingAndDiscontinuedOperation</t>
  </si>
  <si>
    <t>TotalExpenses</t>
  </si>
  <si>
    <t>TotalOperatingIncomeAsReported</t>
  </si>
  <si>
    <t>DilutedAverageShares</t>
  </si>
  <si>
    <t>BasicAverageShares</t>
  </si>
  <si>
    <t>DilutedEPS</t>
  </si>
  <si>
    <t>BasicEPS</t>
  </si>
  <si>
    <t>DilutedNIAvailtoComStockholders</t>
  </si>
  <si>
    <t>NetIncomeCommonStockholders</t>
  </si>
  <si>
    <t>OtherunderPreferredStockDividend</t>
  </si>
  <si>
    <t>NetIncome</t>
  </si>
  <si>
    <t>NetIncomeIncludingNoncontrollingInterests</t>
  </si>
  <si>
    <t>NetIncomeContinuousOperations</t>
  </si>
  <si>
    <t>TaxProvision</t>
  </si>
  <si>
    <t>PretaxIncome</t>
  </si>
  <si>
    <t>OtherNonOperatingIncomeExpenses</t>
  </si>
  <si>
    <t>SpecialIncomeCharges</t>
  </si>
  <si>
    <t>OtherSpecialCharges</t>
  </si>
  <si>
    <t>NetNonOperatingInterestIncomeExpense</t>
  </si>
  <si>
    <t>TotalOtherFinanceCost</t>
  </si>
  <si>
    <t>InterestExpenseNonOperating</t>
  </si>
  <si>
    <t>InterestIncomeNonOperating</t>
  </si>
  <si>
    <t>OperatingIncome</t>
  </si>
  <si>
    <t>OperatingExpense</t>
  </si>
  <si>
    <t>OtherOperatingExpenses</t>
  </si>
  <si>
    <t>DepreciationAndAmortizationInIncomeStatement</t>
  </si>
  <si>
    <t>Amortization</t>
  </si>
  <si>
    <t>DepreciationIncomeStatement</t>
  </si>
  <si>
    <t>SellingGeneralAndAdministration</t>
  </si>
  <si>
    <t>SellingAndMarketingExpense</t>
  </si>
  <si>
    <t>GeneralAndAdministrativeExpense</t>
  </si>
  <si>
    <t>GrossProfit</t>
  </si>
  <si>
    <t>CostOfRevenue</t>
  </si>
  <si>
    <t>TotalRevenue</t>
  </si>
  <si>
    <t>OperatingRevenue</t>
  </si>
  <si>
    <t>Treasury Shares Number</t>
  </si>
  <si>
    <t>Ordinary Shares Number</t>
  </si>
  <si>
    <t>Share Issued</t>
  </si>
  <si>
    <t>Net Debt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</si>
  <si>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</si>
  <si>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</si>
  <si>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</si>
  <si>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</si>
  <si>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</si>
  <si>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</si>
  <si>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</si>
  <si>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</si>
  <si>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</si>
  <si>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Stockholders Equity</t>
  </si>
  <si>
    <t>Other Equity Interest</t>
  </si>
  <si>
    <t>Treasury Stock</t>
  </si>
  <si>
    <t>Retained Earnings</t>
  </si>
  <si>
    <t>Capital Stock</t>
  </si>
  <si>
    <t>Common Stock</t>
  </si>
  <si>
    <t>Total Liabilities Net Minority Interest</t>
  </si>
  <si>
    <t>Total Non Current Liabilities Net Minority Interest</t>
  </si>
  <si>
    <t>Other Non Current Liabilities</t>
  </si>
  <si>
    <t>Non Current Deferred Taxes Liabilities</t>
  </si>
  <si>
    <t>Long Term Debt And Capital Lease Obligation</t>
  </si>
  <si>
    <t>Long Term Capital Lease Obligation</t>
  </si>
  <si>
    <t>Long Term Debt</t>
  </si>
  <si>
    <t>Long Term Provisions</t>
  </si>
  <si>
    <t>Current Liabilities</t>
  </si>
  <si>
    <t>Other Current Liabilities</t>
  </si>
  <si>
    <t>Current Debt And Capital Lease Obligation</t>
  </si>
  <si>
    <t>Current Capital Lease Obligation</t>
  </si>
  <si>
    <t>Current Debt</t>
  </si>
  <si>
    <t>Pensionand Other Post Retirement Benefit Plans Current</t>
  </si>
  <si>
    <t>Payables</t>
  </si>
  <si>
    <t>Other Payable</t>
  </si>
  <si>
    <t>Total Tax Payable</t>
  </si>
  <si>
    <t>Accounts Payable</t>
  </si>
  <si>
    <t>Total Assets</t>
  </si>
  <si>
    <t>Total Non Current Assets</t>
  </si>
  <si>
    <t>Other Non Current Assets</t>
  </si>
  <si>
    <t>Non Current Deferred Taxes Assets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</si>
  <si>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</si>
  <si>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</si>
  <si>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</si>
  <si>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</si>
  <si>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</si>
  <si>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</si>
  <si>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Other Properties</t>
  </si>
  <si>
    <t>Machinery Furniture Equipment</t>
  </si>
  <si>
    <t>Buildings And Improvements</t>
  </si>
  <si>
    <t>Land And Improvements</t>
  </si>
  <si>
    <t>Properties</t>
  </si>
  <si>
    <t>Current Assets</t>
  </si>
  <si>
    <t>Other Current Assets</t>
  </si>
  <si>
    <t>Prepaid Assets</t>
  </si>
  <si>
    <t>Inventory</t>
  </si>
  <si>
    <t>Finished Goods</t>
  </si>
  <si>
    <t>Other Receivables</t>
  </si>
  <si>
    <t>Accounts Receivable</t>
  </si>
  <si>
    <t>Cash Cash Equivalents And Short Term Investments</t>
  </si>
  <si>
    <t>Cash And Cash Equivalents</t>
  </si>
  <si>
    <t>Free Cash Flow</t>
  </si>
  <si>
    <t>Repurchase Of Capital Stock</t>
  </si>
  <si>
    <t>Repayment Of Debt</t>
  </si>
  <si>
    <t>Issuance Of Debt</t>
  </si>
  <si>
    <t>Issuance Of Capital Stock</t>
  </si>
  <si>
    <t>Capital Expenditure</t>
  </si>
  <si>
    <t>End Cash Position</t>
  </si>
  <si>
    <t>Other Cash Adjustment Outside Changein Cash</t>
  </si>
  <si>
    <t>Beginning Cash Position</t>
  </si>
  <si>
    <t>Changes In Cash</t>
  </si>
  <si>
    <t>Financing Cash Flow</t>
  </si>
  <si>
    <t>Net Other Financing Charges</t>
  </si>
  <si>
    <t>Cash Dividends Paid</t>
  </si>
  <si>
    <t>Net Common Stock Issuance</t>
  </si>
  <si>
    <t>Common Stock Payments</t>
  </si>
  <si>
    <t>Common Stock Issuance</t>
  </si>
  <si>
    <t>Net Issuance Payments Of Debt</t>
  </si>
  <si>
    <t>Net Long Term Debt Issuance</t>
  </si>
  <si>
    <t>Long Term Debt Payments</t>
  </si>
  <si>
    <t>Long Term Debt Issuance</t>
  </si>
  <si>
    <t>Investing Cash Flow</t>
  </si>
  <si>
    <t>Net Other Investing Changes</t>
  </si>
  <si>
    <t>Net Intangibles Purchase And Sale</t>
  </si>
  <si>
    <t>Purchase Of Intangibles</t>
  </si>
  <si>
    <t>Net PPE Purchase And Sale</t>
  </si>
  <si>
    <t>Sale Of PPE</t>
  </si>
  <si>
    <t>Purchase Of PPE</t>
  </si>
  <si>
    <t>Operating Cash Flow</t>
  </si>
  <si>
    <t>Taxes Refund Paid</t>
  </si>
  <si>
    <t>Interest Received Cfo</t>
  </si>
  <si>
    <t>Interest Paid Cfo</t>
  </si>
  <si>
    <t>Change In Working Capital</t>
  </si>
  <si>
    <t>Change In Payable</t>
  </si>
  <si>
    <t>Change In Inventory</t>
  </si>
  <si>
    <t>Change In Receivables</t>
  </si>
  <si>
    <t>Other Non Cash Items</t>
  </si>
  <si>
    <t>Deferred Tax</t>
  </si>
  <si>
    <t>Depreciation And Amortization</t>
  </si>
  <si>
    <t>Amortization Cash Flow</t>
  </si>
  <si>
    <t>Depreciation</t>
  </si>
  <si>
    <t>Gain Loss On Sale Of PPE</t>
  </si>
  <si>
    <t>Net Income From Continuing Operations</t>
  </si>
  <si>
    <t>Date</t>
  </si>
  <si>
    <t>Open</t>
  </si>
  <si>
    <t>High</t>
  </si>
  <si>
    <t>Low</t>
  </si>
  <si>
    <t>Close</t>
  </si>
  <si>
    <t>Volume</t>
  </si>
  <si>
    <t>Dividends</t>
  </si>
  <si>
    <t>Jakaja</t>
  </si>
  <si>
    <t>Analyytikkojen ennusteet</t>
  </si>
  <si>
    <t xml:space="preserve">Tunnusluvut </t>
  </si>
  <si>
    <t>Current</t>
  </si>
  <si>
    <t xml:space="preserve">Low </t>
  </si>
  <si>
    <t>Mean</t>
  </si>
  <si>
    <t>Median</t>
  </si>
  <si>
    <t>Neljän vuoden kurssikehitys (1 vrk frekvenssi)</t>
  </si>
  <si>
    <t>Lähde Yahoo Finance (Python yFinance)</t>
  </si>
  <si>
    <t>Johdetut tunnusluvut</t>
  </si>
  <si>
    <t>EV</t>
  </si>
  <si>
    <t>EV/EBIT</t>
  </si>
  <si>
    <t>WACC</t>
  </si>
  <si>
    <t>Market Cap (M€)</t>
  </si>
  <si>
    <t>≈ 1,21 mrd €</t>
  </si>
  <si>
    <t>Debt</t>
  </si>
  <si>
    <t>Net Debt ex IFRS</t>
  </si>
  <si>
    <t>Verokanta</t>
  </si>
  <si>
    <t>Interest Expense</t>
  </si>
  <si>
    <t>Dividend Yield</t>
  </si>
  <si>
    <t>Riskipreemio</t>
  </si>
  <si>
    <t>Riskitön korko</t>
  </si>
  <si>
    <t>CAPM</t>
  </si>
  <si>
    <t>(M€)</t>
  </si>
  <si>
    <t>Korkoprosentti</t>
  </si>
  <si>
    <t>FCFF</t>
  </si>
  <si>
    <t>NOPAT</t>
  </si>
  <si>
    <t>CAPEX</t>
  </si>
  <si>
    <t>D&amp;A</t>
  </si>
  <si>
    <t>DCF Puuilo Oyj</t>
  </si>
  <si>
    <t>Liikevaihto</t>
  </si>
  <si>
    <t>LV kasvu-%</t>
  </si>
  <si>
    <t>EBIT-%</t>
  </si>
  <si>
    <t xml:space="preserve">EBIT </t>
  </si>
  <si>
    <t>ΔNWC</t>
  </si>
  <si>
    <t>2022 (A)</t>
  </si>
  <si>
    <t>2023 (A)</t>
  </si>
  <si>
    <t>2024 (A)</t>
  </si>
  <si>
    <t>2026 (E)</t>
  </si>
  <si>
    <t>2027 (E)</t>
  </si>
  <si>
    <t>2028 (E)</t>
  </si>
  <si>
    <t>2029 (E)</t>
  </si>
  <si>
    <t>2030 (E)</t>
  </si>
  <si>
    <t>(A) = Toteutunut</t>
  </si>
  <si>
    <t>(E) = Ennuste</t>
  </si>
  <si>
    <t>2025 (E)</t>
  </si>
  <si>
    <t>Tunnusluvut välilehdellä: Analyysi</t>
  </si>
  <si>
    <t>(M €)</t>
  </si>
  <si>
    <t>Present value FCFF 2025-2030</t>
  </si>
  <si>
    <t>Yhteensä</t>
  </si>
  <si>
    <t>FCFF 2031 + Terminaali</t>
  </si>
  <si>
    <t>FCFF 2031</t>
  </si>
  <si>
    <t>Terminal value</t>
  </si>
  <si>
    <t>Equity value</t>
  </si>
  <si>
    <t>Osakkeita</t>
  </si>
  <si>
    <t>Osake</t>
  </si>
  <si>
    <t>PV_TV</t>
  </si>
  <si>
    <t>TGR</t>
  </si>
  <si>
    <t>Herkkyysmatriisi</t>
  </si>
  <si>
    <t xml:space="preserve">        WACC</t>
  </si>
  <si>
    <t>Terminal Growth Rate (g)</t>
  </si>
  <si>
    <t>Vertailu</t>
  </si>
  <si>
    <t>Current price</t>
  </si>
  <si>
    <t>Puuilo Oyj 17.12</t>
  </si>
  <si>
    <t xml:space="preserve">      (17.12.2025)</t>
  </si>
  <si>
    <t>Upside %</t>
  </si>
  <si>
    <t xml:space="preserve">              Calculated</t>
  </si>
  <si>
    <t>(Lähde: PWC 2025)</t>
  </si>
  <si>
    <t>(10 vuoden valtiolainakorko)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</si>
</sst>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€&quot;;[Red]\-#,##0.00\ &quot;€&quot;"/>
    <numFmt numFmtId="164" formatCode="yyyy\-mm\-dd\ hh:mm:ss"/>
    <numFmt numFmtId="165" formatCode="#,##0.00\ &quot;€&quot;"/>
    <numFmt numFmtId="166" formatCode="0.000"/>
    <numFmt numFmtId="167" formatCode="0.0\ %"/>
    <numFmt numFmtId="168" formatCode="0.0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9" fontId="5" fillId="0" borderId="0" applyFont="0" applyFill="0" applyBorder="0" applyAlignment="0" applyProtection="0"/>
    <xf numFmtId="0" fontId="9" fillId="0" borderId="2" applyNumberFormat="0" applyFill="0" applyAlignment="0" applyProtection="0"/>
    <xf numFmtId="0" fontId="10" fillId="4" borderId="0" applyNumberFormat="0" applyBorder="0" applyAlignment="0" applyProtection="0"/>
    <xf numFmtId="0" fontId="11" fillId="5" borderId="3" applyNumberFormat="0" applyAlignment="0" applyProtection="0"/>
    <xf numFmtId="0" fontId="5" fillId="6" borderId="4" applyNumberFormat="0" applyFont="0" applyAlignment="0" applyProtection="0"/>
    <xf numFmtId="0" fontId="12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3" fillId="0" borderId="0" xfId="0" applyFont="1"/>
    <xf numFmtId="0" fontId="2" fillId="0" borderId="0" xfId="0" applyFont="1"/>
    <xf numFmtId="17" fontId="2" fillId="0" borderId="0" xfId="0" applyNumberFormat="1" applyFont="1"/>
    <xf numFmtId="14" fontId="0" fillId="0" borderId="0" xfId="0" applyNumberFormat="1"/>
    <xf numFmtId="8" fontId="0" fillId="0" borderId="0" xfId="0" applyNumberFormat="1"/>
    <xf numFmtId="166" fontId="0" fillId="0" borderId="0" xfId="0" applyNumberFormat="1"/>
    <xf numFmtId="2" fontId="0" fillId="0" borderId="0" xfId="0" applyNumberFormat="1"/>
    <xf numFmtId="0" fontId="4" fillId="0" borderId="1" xfId="0" applyFont="1" applyBorder="1" applyAlignment="1">
      <alignment horizontal="center" vertical="top"/>
    </xf>
    <xf numFmtId="9" fontId="0" fillId="0" borderId="0" xfId="0" applyNumberFormat="1"/>
    <xf numFmtId="167" fontId="0" fillId="0" borderId="0" xfId="0" applyNumberFormat="1"/>
    <xf numFmtId="10" fontId="0" fillId="0" borderId="0" xfId="0" applyNumberFormat="1"/>
    <xf numFmtId="0" fontId="2" fillId="0" borderId="0" xfId="0" applyFont="1" applyAlignment="1">
      <alignment horizontal="center"/>
    </xf>
    <xf numFmtId="9" fontId="0" fillId="0" borderId="0" xfId="1" applyFont="1"/>
    <xf numFmtId="167" fontId="0" fillId="0" borderId="0" xfId="1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68" fontId="0" fillId="0" borderId="0" xfId="0" applyNumberFormat="1"/>
    <xf numFmtId="0" fontId="0" fillId="2" borderId="0" xfId="0" applyFill="1"/>
    <xf numFmtId="168" fontId="2" fillId="0" borderId="0" xfId="0" applyNumberFormat="1" applyFont="1"/>
    <xf numFmtId="0" fontId="0" fillId="3" borderId="0" xfId="0" applyFill="1"/>
    <xf numFmtId="2" fontId="2" fillId="0" borderId="0" xfId="0" applyNumberFormat="1" applyFont="1"/>
    <xf numFmtId="165" fontId="2" fillId="3" borderId="0" xfId="0" applyNumberFormat="1" applyFont="1" applyFill="1"/>
    <xf numFmtId="167" fontId="0" fillId="0" borderId="0" xfId="1" applyNumberFormat="1" applyFont="1" applyFill="1"/>
    <xf numFmtId="14" fontId="0" fillId="2" borderId="0" xfId="0" applyNumberFormat="1" applyFill="1"/>
    <xf numFmtId="167" fontId="10" fillId="4" borderId="0" xfId="3" applyNumberFormat="1"/>
    <xf numFmtId="168" fontId="11" fillId="5" borderId="3" xfId="4" applyNumberFormat="1"/>
    <xf numFmtId="10" fontId="11" fillId="5" borderId="3" xfId="4" applyNumberFormat="1"/>
    <xf numFmtId="0" fontId="9" fillId="0" borderId="2" xfId="2"/>
    <xf numFmtId="0" fontId="12" fillId="0" borderId="0" xfId="6"/>
    <xf numFmtId="9" fontId="11" fillId="5" borderId="3" xfId="4" applyNumberFormat="1"/>
    <xf numFmtId="8" fontId="13" fillId="6" borderId="4" xfId="5" applyNumberFormat="1" applyFont="1"/>
    <xf numFmtId="0" fontId="12" fillId="0" borderId="3" xfId="6" applyFill="1" applyBorder="1"/>
  </cellXfs>
  <cellStyles count="7">
    <cellStyle name="Calculation" xfId="4" builtinId="22"/>
    <cellStyle name="Good" xfId="3" builtinId="26"/>
    <cellStyle name="Heading 1" xfId="2" builtinId="16"/>
    <cellStyle name="Heading 4" xfId="6" builtinId="19"/>
    <cellStyle name="Normal" xfId="0" builtinId="0"/>
    <cellStyle name="Note" xfId="5" builtinId="1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 b="1"/>
              <a:t>Free Cash Flow to Firm 2022-2030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i-FI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DCF_Puuilo!$D$6:$L$6</c:f>
              <c:strCache>
                <c:ptCount val="9"/>
                <c:pt idx="0">
                  <c:v>2022 (A)</c:v>
                </c:pt>
                <c:pt idx="1">
                  <c:v>2023 (A)</c:v>
                </c:pt>
                <c:pt idx="2">
                  <c:v>2024 (A)</c:v>
                </c:pt>
                <c:pt idx="3">
                  <c:v>2025 (E)</c:v>
                </c:pt>
                <c:pt idx="4">
                  <c:v>2026 (E)</c:v>
                </c:pt>
                <c:pt idx="5">
                  <c:v>2027 (E)</c:v>
                </c:pt>
                <c:pt idx="6">
                  <c:v>2028 (E)</c:v>
                </c:pt>
                <c:pt idx="7">
                  <c:v>2029 (E)</c:v>
                </c:pt>
                <c:pt idx="8">
                  <c:v>2030 (E)</c:v>
                </c:pt>
              </c:strCache>
            </c:strRef>
          </c:cat>
          <c:val>
            <c:numRef>
              <c:f>DCF_Puuilo!$D$15:$L$15</c:f>
              <c:numCache>
                <c:formatCode>0.0</c:formatCode>
                <c:ptCount val="9"/>
                <c:pt idx="0" formatCode="General">
                  <c:v>51.9</c:v>
                </c:pt>
                <c:pt idx="1">
                  <c:v>56.62</c:v>
                </c:pt>
                <c:pt idx="2">
                  <c:v>46.040000000000006</c:v>
                </c:pt>
                <c:pt idx="3">
                  <c:v>68.981328000000019</c:v>
                </c:pt>
                <c:pt idx="4">
                  <c:v>77.259087360000009</c:v>
                </c:pt>
                <c:pt idx="5">
                  <c:v>86.530177843200008</c:v>
                </c:pt>
                <c:pt idx="6">
                  <c:v>96.913799184384033</c:v>
                </c:pt>
                <c:pt idx="7">
                  <c:v>108.47106060779524</c:v>
                </c:pt>
                <c:pt idx="8">
                  <c:v>119.31816666857479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E-4404-851B-5CB83D4A7AF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5438927"/>
        <c:axId val="1045456687"/>
      </c:barChart>
      <c:catAx>
        <c:axId val="1045438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045456687"/>
        <c:crosses val="autoZero"/>
        <c:auto val="0"/>
        <c:lblAlgn val="ctr"/>
        <c:lblOffset val="100"/>
        <c:noMultiLvlLbl val="0"/>
      </c:catAx>
      <c:valAx>
        <c:axId val="104545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m €</a:t>
                </a:r>
              </a:p>
            </c:rich>
          </c:tx>
          <c:layout>
            <c:manualLayout>
              <c:xMode val="edge"/>
              <c:yMode val="edge"/>
              <c:x val="3.8372987644630679E-2"/>
              <c:y val="0.398105847968042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04543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4</xdr:row>
      <xdr:rowOff>179294</xdr:rowOff>
    </xdr:from>
    <xdr:to>
      <xdr:col>20</xdr:col>
      <xdr:colOff>14941</xdr:colOff>
      <xdr:row>20</xdr:row>
      <xdr:rowOff>37354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14B2B7-63DC-9D06-6461-F66681F64A33}"/>
            </a:ext>
          </a:extLst>
        </xdr:cNvPr>
        <xdr:cNvSpPr txBox="1"/>
      </xdr:nvSpPr>
      <xdr:spPr>
        <a:xfrm>
          <a:off x="8650941" y="993588"/>
          <a:ext cx="4303059" cy="2853766"/>
        </a:xfrm>
        <a:prstGeom prst="rect">
          <a:avLst/>
        </a:prstGeom>
        <a:solidFill>
          <a:schemeClr val="lt1"/>
        </a:solidFill>
        <a:ln w="9525" cmpd="sng">
          <a:solidFill>
            <a:schemeClr val="tx2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100" b="1"/>
            <a:t>Puuilo</a:t>
          </a:r>
          <a:r>
            <a:rPr lang="fi-FI" sz="1100" b="1" baseline="0"/>
            <a:t> Oyj DCF-malli  </a:t>
          </a:r>
          <a:r>
            <a:rPr lang="fi-F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 </a:t>
          </a:r>
          <a:r>
            <a:rPr lang="fi-FI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Mallinnettu</a:t>
          </a:r>
          <a:r>
            <a:rPr lang="fi-FI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2025-2030 + 2031 --&gt; TGR 2%</a:t>
          </a:r>
        </a:p>
        <a:p>
          <a:r>
            <a:rPr lang="fi-FI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Liikevaihdon kasvu</a:t>
          </a:r>
          <a:r>
            <a:rPr lang="fi-FI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 12% (2025-2028), 10% (2028-2030) Yhtiön oma strategia. (Puuilo itse arvoinut 2030 LV 800 M€)</a:t>
          </a:r>
        </a:p>
        <a:p>
          <a:r>
            <a:rPr lang="fi-FI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EBIT-%</a:t>
          </a:r>
          <a:r>
            <a:rPr lang="fi-FI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17% (Yhtiön strategian kannattavuustavoite 2030 asti) </a:t>
          </a:r>
        </a:p>
        <a:p>
          <a:r>
            <a:rPr lang="fi-FI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Verokanta</a:t>
          </a:r>
          <a:r>
            <a:rPr lang="fi-FI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 20% (Käytetty NOPAT laskennassa)</a:t>
          </a:r>
        </a:p>
        <a:p>
          <a:r>
            <a:rPr lang="fi-FI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D&amp;A</a:t>
          </a:r>
          <a:r>
            <a:rPr lang="fi-FI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 Mallinnettu historiallisena suhteena liikevaihtoon </a:t>
          </a:r>
          <a:r>
            <a:rPr lang="fi-FI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≈ </a:t>
          </a:r>
          <a:r>
            <a:rPr lang="fi-FI"/>
            <a:t>( 5%)</a:t>
          </a:r>
        </a:p>
        <a:p>
          <a:r>
            <a:rPr lang="fi-FI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CAPEX</a:t>
          </a:r>
          <a:r>
            <a:rPr lang="fi-FI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Mallinnettu historiallisena suhteena liikevaihtoon </a:t>
          </a:r>
          <a:r>
            <a:rPr lang="fi-FI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≈ </a:t>
          </a:r>
          <a:r>
            <a:rPr lang="fi-F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(0,9%-1,9%)</a:t>
          </a:r>
          <a:r>
            <a:rPr lang="fi-FI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sekä mahdollinen nousu LV kasvaessa.</a:t>
          </a:r>
        </a:p>
        <a:p>
          <a:r>
            <a:rPr lang="el-GR" b="1"/>
            <a:t>Δ</a:t>
          </a:r>
          <a:r>
            <a:rPr lang="fi-FI" b="1"/>
            <a:t>NWC</a:t>
          </a:r>
          <a:r>
            <a:rPr lang="fi-FI"/>
            <a:t>:</a:t>
          </a:r>
          <a:r>
            <a:rPr lang="fi-FI" baseline="0"/>
            <a:t> Vuosi 2024 oli voimakkaasti negatiivinen (sitoutui käyttöpääoman), yhtiön varastojen kasvu. (Oletus ettei 2024 piikki toistu, mutta mallinnettu silti pieni negatiivisuus)</a:t>
          </a:r>
        </a:p>
        <a:p>
          <a:r>
            <a:rPr lang="fi-FI" b="1" baseline="0"/>
            <a:t>WACC</a:t>
          </a:r>
          <a:r>
            <a:rPr lang="fi-FI" baseline="0"/>
            <a:t>: 9%, </a:t>
          </a:r>
          <a:r>
            <a:rPr lang="fi-FI"/>
            <a:t>E/(D+E)×Re + D/(D+E)×Rd×(1–t) </a:t>
          </a:r>
        </a:p>
        <a:p>
          <a:r>
            <a:rPr lang="fi-FI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Terminaalikasvu (g)</a:t>
          </a:r>
          <a:r>
            <a:rPr lang="fi-FI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2%, Inflaatio + pieni reaalikasvu</a:t>
          </a:r>
        </a:p>
        <a:p>
          <a:r>
            <a:rPr lang="fi-FI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Upside</a:t>
          </a:r>
          <a:r>
            <a:rPr lang="fi-FI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Mallinnettu hinta Puuilo Oyj:n oman strategian lukemilla hieman kevyemmällä LV kehityksellä.  Osake mahd. 28,1% aliarvostettu.</a:t>
          </a:r>
        </a:p>
        <a:p>
          <a:r>
            <a:rPr lang="fi-FI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Fair value</a:t>
          </a:r>
          <a:r>
            <a:rPr lang="fi-FI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fi-FI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15,76 € / Osake</a:t>
          </a:r>
        </a:p>
        <a:p>
          <a:endParaRPr lang="fi-FI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fi-FI" sz="1100" b="1"/>
        </a:p>
      </xdr:txBody>
    </xdr:sp>
    <xdr:clientData/>
  </xdr:twoCellAnchor>
  <xdr:twoCellAnchor>
    <xdr:from>
      <xdr:col>0</xdr:col>
      <xdr:colOff>605118</xdr:colOff>
      <xdr:row>30</xdr:row>
      <xdr:rowOff>0</xdr:rowOff>
    </xdr:from>
    <xdr:to>
      <xdr:col>8</xdr:col>
      <xdr:colOff>0</xdr:colOff>
      <xdr:row>44</xdr:row>
      <xdr:rowOff>179293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D64438-77BE-9907-D874-CF410E994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120651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68EBEF87-E8DC-14E7-9900-11526DCBCF8B}"/>
            </a:ext>
          </a:extLst>
        </xdr:cNvPr>
        <xdr:cNvSpPr>
          <a:spLocks noChangeAspect="1" noChangeArrowheads="1"/>
        </xdr:cNvSpPr>
      </xdr:nvSpPr>
      <xdr:spPr bwMode="auto">
        <a:xfrm>
          <a:off x="1765300" y="31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120651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11FB7BA8-7A49-0D10-B45F-2974945D3960}"/>
            </a:ext>
          </a:extLst>
        </xdr:cNvPr>
        <xdr:cNvSpPr>
          <a:spLocks noChangeAspect="1" noChangeArrowheads="1"/>
        </xdr:cNvSpPr>
      </xdr:nvSpPr>
      <xdr:spPr bwMode="auto">
        <a:xfrm>
          <a:off x="1765300" y="31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120651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E1A29B62-3D6F-263C-5E92-13A20B9062BE}"/>
            </a:ext>
          </a:extLst>
        </xdr:cNvPr>
        <xdr:cNvSpPr>
          <a:spLocks noChangeAspect="1" noChangeArrowheads="1"/>
        </xdr:cNvSpPr>
      </xdr:nvSpPr>
      <xdr:spPr bwMode="auto">
        <a:xfrm>
          <a:off x="819150" y="25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120651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29FCB555-D3BB-F607-38A5-93E04560ADC4}"/>
            </a:ext>
          </a:extLst>
        </xdr:cNvPr>
        <xdr:cNvSpPr>
          <a:spLocks noChangeAspect="1" noChangeArrowheads="1"/>
        </xdr:cNvSpPr>
      </xdr:nvSpPr>
      <xdr:spPr bwMode="auto">
        <a:xfrm>
          <a:off x="819150" y="25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120651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4459F891-249A-759F-F699-DCC214E8346F}"/>
            </a:ext>
          </a:extLst>
        </xdr:cNvPr>
        <xdr:cNvSpPr>
          <a:spLocks noChangeAspect="1" noChangeArrowheads="1"/>
        </xdr:cNvSpPr>
      </xdr:nvSpPr>
      <xdr:spPr bwMode="auto">
        <a:xfrm>
          <a:off x="819150" y="25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7471</xdr:colOff>
      <xdr:row>6</xdr:row>
      <xdr:rowOff>14945</xdr:rowOff>
    </xdr:from>
    <xdr:to>
      <xdr:col>8</xdr:col>
      <xdr:colOff>600130</xdr:colOff>
      <xdr:row>22</xdr:row>
      <xdr:rowOff>67234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2DAAF1-4450-3645-978D-FB75076CF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2412" y="1135533"/>
          <a:ext cx="5067542" cy="3040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BB0A-08C9-4B16-8762-999B175BD5E3}">
  <dimension ref="B2:N29"/>
  <sheetViews>
    <sheetView tabSelected="1" zoomScale="85" zoomScaleNormal="85" workbookViewId="0">
      <selection activeCell="G2" sqref="G2"/>
    </sheetView>
  </sheetViews>
  <sheetFormatPr defaultRowHeight="14.5" x14ac:dyDescent="0.35"/>
  <cols>
    <col min="2" max="2" width="10.1796875" customWidth="1"/>
    <col min="5" max="5" width="10.6328125" customWidth="1"/>
    <col min="6" max="6" width="10" bestFit="1" customWidth="1"/>
    <col min="7" max="7" width="11.08984375" bestFit="1" customWidth="1"/>
    <col min="8" max="8" width="9.54296875" customWidth="1"/>
    <col min="11" max="11" width="9.81640625" customWidth="1"/>
    <col min="12" max="12" width="9.90625" customWidth="1"/>
  </cols>
  <sheetData>
    <row r="2" spans="2:13" x14ac:dyDescent="0.35">
      <c r="B2" s="18" t="s">
        <v>218</v>
      </c>
      <c r="C2" s="19"/>
      <c r="D2" s="19"/>
      <c r="E2" s="19"/>
    </row>
    <row r="4" spans="2:13" ht="20" thickBot="1" x14ac:dyDescent="0.5">
      <c r="B4" s="32" t="s">
        <v>201</v>
      </c>
      <c r="C4" s="32"/>
      <c r="E4" s="33" t="s">
        <v>215</v>
      </c>
      <c r="G4" s="36" t="s">
        <v>216</v>
      </c>
    </row>
    <row r="5" spans="2:13" ht="15" thickTop="1" x14ac:dyDescent="0.35"/>
    <row r="6" spans="2:13" x14ac:dyDescent="0.35">
      <c r="B6" s="20" t="s">
        <v>219</v>
      </c>
      <c r="D6" t="s">
        <v>207</v>
      </c>
      <c r="E6" t="s">
        <v>208</v>
      </c>
      <c r="F6" t="s">
        <v>209</v>
      </c>
      <c r="G6" t="s">
        <v>217</v>
      </c>
      <c r="H6" t="s">
        <v>210</v>
      </c>
      <c r="I6" t="s">
        <v>211</v>
      </c>
      <c r="J6" t="s">
        <v>212</v>
      </c>
      <c r="K6" t="s">
        <v>213</v>
      </c>
      <c r="L6" t="s">
        <v>214</v>
      </c>
    </row>
    <row r="7" spans="2:13" x14ac:dyDescent="0.35">
      <c r="B7" s="33" t="s">
        <v>202</v>
      </c>
      <c r="D7">
        <v>296.39999999999998</v>
      </c>
      <c r="E7">
        <v>338.4</v>
      </c>
      <c r="F7">
        <v>383.4</v>
      </c>
      <c r="G7" s="21">
        <f>F7*1.12</f>
        <v>429.40800000000002</v>
      </c>
      <c r="H7" s="21">
        <f t="shared" ref="H7:J7" si="0">G7*1.12</f>
        <v>480.93696000000006</v>
      </c>
      <c r="I7" s="21">
        <f t="shared" si="0"/>
        <v>538.64939520000007</v>
      </c>
      <c r="J7" s="21">
        <f t="shared" si="0"/>
        <v>603.28732262400013</v>
      </c>
      <c r="K7" s="21">
        <f>J7*1.1</f>
        <v>663.61605488640021</v>
      </c>
      <c r="L7" s="21">
        <f>K7*1.1</f>
        <v>729.97766037504027</v>
      </c>
    </row>
    <row r="8" spans="2:13" x14ac:dyDescent="0.35">
      <c r="B8" s="33" t="s">
        <v>203</v>
      </c>
      <c r="E8" s="17">
        <f t="shared" ref="E8" si="1">(E7/D7)-1</f>
        <v>0.14170040485829971</v>
      </c>
      <c r="F8" s="17">
        <f>(F7/E7)-1</f>
        <v>0.13297872340425543</v>
      </c>
      <c r="G8" s="16">
        <f>(G7/F7)-1</f>
        <v>0.12000000000000011</v>
      </c>
      <c r="H8" s="16">
        <f>(H7/G7)-1</f>
        <v>0.12000000000000011</v>
      </c>
      <c r="I8" s="16">
        <v>0.12</v>
      </c>
      <c r="J8" s="16">
        <v>0.12</v>
      </c>
      <c r="K8" s="12">
        <v>0.1</v>
      </c>
      <c r="L8" s="12">
        <v>0.1</v>
      </c>
    </row>
    <row r="9" spans="2:13" x14ac:dyDescent="0.35">
      <c r="B9" s="33" t="s">
        <v>204</v>
      </c>
      <c r="D9" s="17">
        <f>D10/D7</f>
        <v>0.15688259109311742</v>
      </c>
      <c r="E9" s="17">
        <f>E10/E7</f>
        <v>0.15780141843971632</v>
      </c>
      <c r="F9" s="16">
        <f>F10/F7</f>
        <v>0.17031820552947313</v>
      </c>
      <c r="G9" s="12">
        <v>0.17</v>
      </c>
      <c r="H9" s="12">
        <v>0.17</v>
      </c>
      <c r="I9" s="12">
        <v>0.17</v>
      </c>
      <c r="J9" s="12">
        <v>0.17</v>
      </c>
      <c r="K9" s="12">
        <v>0.17</v>
      </c>
      <c r="L9" s="12">
        <v>0.17</v>
      </c>
    </row>
    <row r="10" spans="2:13" x14ac:dyDescent="0.35">
      <c r="B10" s="33" t="s">
        <v>205</v>
      </c>
      <c r="D10">
        <v>46.5</v>
      </c>
      <c r="E10">
        <v>53.4</v>
      </c>
      <c r="F10">
        <v>65.3</v>
      </c>
      <c r="G10" s="21">
        <f>G7*G9</f>
        <v>72.99936000000001</v>
      </c>
      <c r="H10" s="21">
        <f t="shared" ref="H10:L10" si="2">H7*H9</f>
        <v>81.759283200000013</v>
      </c>
      <c r="I10" s="21">
        <f t="shared" si="2"/>
        <v>91.570397184000015</v>
      </c>
      <c r="J10" s="21">
        <f t="shared" si="2"/>
        <v>102.55884484608004</v>
      </c>
      <c r="K10" s="21">
        <f t="shared" si="2"/>
        <v>112.81472933068804</v>
      </c>
      <c r="L10" s="21">
        <f t="shared" si="2"/>
        <v>124.09620226375685</v>
      </c>
    </row>
    <row r="11" spans="2:13" x14ac:dyDescent="0.35">
      <c r="B11" s="33" t="s">
        <v>198</v>
      </c>
      <c r="D11">
        <f>D10*(1-C19)</f>
        <v>37.200000000000003</v>
      </c>
      <c r="E11" s="21">
        <f>E10*(1-C19)</f>
        <v>42.72</v>
      </c>
      <c r="F11" s="21">
        <f>F10*(1-C19)</f>
        <v>52.24</v>
      </c>
      <c r="G11" s="21">
        <f>G10*(1-0.2)</f>
        <v>58.399488000000012</v>
      </c>
      <c r="H11" s="21">
        <f t="shared" ref="H11:L11" si="3">H10*(1-0.2)</f>
        <v>65.407426560000019</v>
      </c>
      <c r="I11" s="21">
        <f t="shared" si="3"/>
        <v>73.256317747200015</v>
      </c>
      <c r="J11" s="21">
        <f t="shared" si="3"/>
        <v>82.047075876864028</v>
      </c>
      <c r="K11" s="21">
        <f t="shared" si="3"/>
        <v>90.251783464550442</v>
      </c>
      <c r="L11" s="21">
        <f t="shared" si="3"/>
        <v>99.276961811005492</v>
      </c>
      <c r="M11" s="20"/>
    </row>
    <row r="12" spans="2:13" x14ac:dyDescent="0.35">
      <c r="B12" s="33" t="s">
        <v>200</v>
      </c>
      <c r="D12">
        <v>13.4</v>
      </c>
      <c r="E12">
        <v>15.2</v>
      </c>
      <c r="F12">
        <v>19.100000000000001</v>
      </c>
      <c r="G12" s="21">
        <f>G7*0.05</f>
        <v>21.470400000000001</v>
      </c>
      <c r="H12" s="21">
        <f t="shared" ref="H12:L12" si="4">H7*0.05</f>
        <v>24.046848000000004</v>
      </c>
      <c r="I12" s="21">
        <f t="shared" si="4"/>
        <v>26.932469760000004</v>
      </c>
      <c r="J12" s="21">
        <f t="shared" si="4"/>
        <v>30.164366131200008</v>
      </c>
      <c r="K12" s="21">
        <f t="shared" si="4"/>
        <v>33.180802744320012</v>
      </c>
      <c r="L12" s="21">
        <f t="shared" si="4"/>
        <v>36.498883018752018</v>
      </c>
    </row>
    <row r="13" spans="2:13" x14ac:dyDescent="0.35">
      <c r="B13" s="33" t="s">
        <v>199</v>
      </c>
      <c r="D13">
        <v>-2.6</v>
      </c>
      <c r="E13">
        <v>-4.7</v>
      </c>
      <c r="F13">
        <v>-7.1</v>
      </c>
      <c r="G13" s="21">
        <f>G7*-0.02</f>
        <v>-8.5881600000000002</v>
      </c>
      <c r="H13" s="21">
        <f t="shared" ref="H13:J13" si="5">H7*-0.02</f>
        <v>-9.618739200000002</v>
      </c>
      <c r="I13" s="21">
        <f t="shared" si="5"/>
        <v>-10.772987904000003</v>
      </c>
      <c r="J13" s="21">
        <f t="shared" si="5"/>
        <v>-12.065746452480003</v>
      </c>
      <c r="K13" s="21">
        <f>K7*-0.018</f>
        <v>-11.945088987955202</v>
      </c>
      <c r="L13" s="21">
        <f>L7*-0.018</f>
        <v>-13.139597886750725</v>
      </c>
    </row>
    <row r="14" spans="2:13" x14ac:dyDescent="0.35">
      <c r="B14" s="33" t="s">
        <v>206</v>
      </c>
      <c r="D14">
        <v>3.9</v>
      </c>
      <c r="E14">
        <v>3.4</v>
      </c>
      <c r="F14">
        <v>-18.2</v>
      </c>
      <c r="G14" s="21">
        <f>-0.05*(G7-F7)</f>
        <v>-2.300400000000002</v>
      </c>
      <c r="H14" s="21">
        <f t="shared" ref="H14:L14" si="6">-0.05*(H7-G7)</f>
        <v>-2.5764480000000023</v>
      </c>
      <c r="I14" s="21">
        <f t="shared" si="6"/>
        <v>-2.8856217600000011</v>
      </c>
      <c r="J14" s="21">
        <f t="shared" si="6"/>
        <v>-3.2318963712000031</v>
      </c>
      <c r="K14" s="21">
        <f t="shared" si="6"/>
        <v>-3.0164366131200042</v>
      </c>
      <c r="L14" s="21">
        <f t="shared" si="6"/>
        <v>-3.3180802744320035</v>
      </c>
    </row>
    <row r="15" spans="2:13" x14ac:dyDescent="0.35">
      <c r="B15" s="5" t="s">
        <v>197</v>
      </c>
      <c r="D15">
        <f>D11+D12+D13+D14</f>
        <v>51.9</v>
      </c>
      <c r="E15" s="21">
        <f>E11+E12+E13+E14</f>
        <v>56.62</v>
      </c>
      <c r="F15" s="21">
        <f>F11+F12+F13+F14</f>
        <v>46.040000000000006</v>
      </c>
      <c r="G15" s="21">
        <f>G11+G12+G13+G14</f>
        <v>68.981328000000019</v>
      </c>
      <c r="H15" s="21">
        <f t="shared" ref="H15:K15" si="7">H11+H12+H13+H14</f>
        <v>77.259087360000009</v>
      </c>
      <c r="I15" s="21">
        <f t="shared" si="7"/>
        <v>86.530177843200008</v>
      </c>
      <c r="J15" s="21">
        <f t="shared" si="7"/>
        <v>96.913799184384033</v>
      </c>
      <c r="K15" s="21">
        <f t="shared" si="7"/>
        <v>108.47106060779524</v>
      </c>
      <c r="L15" s="21">
        <f>L11+L12+L13+L14</f>
        <v>119.31816666857479</v>
      </c>
    </row>
    <row r="18" spans="2:14" x14ac:dyDescent="0.35">
      <c r="B18" s="5" t="s">
        <v>184</v>
      </c>
      <c r="C18" s="12">
        <v>0.09</v>
      </c>
      <c r="E18" s="22" t="s">
        <v>220</v>
      </c>
      <c r="F18" s="22"/>
      <c r="G18" s="22"/>
      <c r="K18" s="22" t="s">
        <v>222</v>
      </c>
      <c r="L18" s="22"/>
    </row>
    <row r="19" spans="2:14" x14ac:dyDescent="0.35">
      <c r="B19" t="s">
        <v>189</v>
      </c>
      <c r="C19" s="12">
        <v>0.2</v>
      </c>
      <c r="E19">
        <v>2025</v>
      </c>
      <c r="F19">
        <v>2026</v>
      </c>
      <c r="G19">
        <v>2027</v>
      </c>
      <c r="H19">
        <v>2028</v>
      </c>
      <c r="I19">
        <v>2029</v>
      </c>
      <c r="J19">
        <v>2030</v>
      </c>
      <c r="K19" t="s">
        <v>223</v>
      </c>
      <c r="L19" t="s">
        <v>224</v>
      </c>
    </row>
    <row r="20" spans="2:14" x14ac:dyDescent="0.35">
      <c r="B20" t="s">
        <v>65</v>
      </c>
      <c r="C20">
        <v>114.8</v>
      </c>
      <c r="E20" s="23">
        <f>G15/(1+C18)</f>
        <v>63.28562201834864</v>
      </c>
      <c r="F20" s="23">
        <f>H15/(1+C18)^2</f>
        <v>65.027428128945374</v>
      </c>
      <c r="G20" s="23">
        <f>I15/(1+C18)^3</f>
        <v>66.817173857264962</v>
      </c>
      <c r="H20" s="23">
        <f>J15/(1+C18)^4</f>
        <v>68.656178642327319</v>
      </c>
      <c r="I20" s="23">
        <f>K15/(1+C18)^5</f>
        <v>70.498746794076197</v>
      </c>
      <c r="J20" s="23">
        <f>L15/(1+C18)^6</f>
        <v>71.145524287599841</v>
      </c>
      <c r="K20" s="5">
        <f>L15*(1+C22)</f>
        <v>121.70453000194628</v>
      </c>
      <c r="L20" s="5">
        <f>K20/(C18-C22)</f>
        <v>1738.636142884947</v>
      </c>
    </row>
    <row r="21" spans="2:14" x14ac:dyDescent="0.35">
      <c r="B21" t="s">
        <v>226</v>
      </c>
      <c r="C21">
        <v>84.22</v>
      </c>
      <c r="E21" t="s">
        <v>221</v>
      </c>
      <c r="F21" s="23">
        <f>SUM(E20:J20)</f>
        <v>405.43067372856228</v>
      </c>
    </row>
    <row r="22" spans="2:14" ht="14" customHeight="1" x14ac:dyDescent="0.35">
      <c r="B22" s="5" t="s">
        <v>229</v>
      </c>
      <c r="C22" s="12">
        <v>0.02</v>
      </c>
      <c r="E22" t="s">
        <v>228</v>
      </c>
      <c r="F22" s="25">
        <f>L20/(1+C18)^6</f>
        <v>1036.6919253335977</v>
      </c>
      <c r="H22" s="30" t="s">
        <v>230</v>
      </c>
      <c r="I22" s="31"/>
      <c r="L22" s="5"/>
    </row>
    <row r="23" spans="2:14" x14ac:dyDescent="0.35">
      <c r="E23" t="s">
        <v>182</v>
      </c>
      <c r="F23" s="23">
        <f>F21+F22</f>
        <v>1442.1225990621601</v>
      </c>
      <c r="H23" s="10">
        <f>$F$25</f>
        <v>15.760182843293283</v>
      </c>
      <c r="I23" s="13">
        <v>0.01</v>
      </c>
      <c r="J23" s="13">
        <v>1.4999999999999999E-2</v>
      </c>
      <c r="K23" s="13">
        <v>0.02</v>
      </c>
      <c r="L23" s="13">
        <v>2.5000000000000001E-2</v>
      </c>
      <c r="M23" s="13">
        <v>0.03</v>
      </c>
      <c r="N23" s="5" t="s">
        <v>232</v>
      </c>
    </row>
    <row r="24" spans="2:14" x14ac:dyDescent="0.35">
      <c r="B24" s="5" t="s">
        <v>233</v>
      </c>
      <c r="E24" t="s">
        <v>225</v>
      </c>
      <c r="F24" s="23">
        <f>F23-C20</f>
        <v>1327.3225990621602</v>
      </c>
      <c r="H24" s="13">
        <v>0.08</v>
      </c>
      <c r="I24" s="3">
        <f t="dataTable" ref="I24:M28" dt2D="1" dtr="1" r1="C22" r2="C18"/>
        <v>16.49420831418384</v>
      </c>
      <c r="J24" s="3">
        <v>17.553782001824327</v>
      </c>
      <c r="K24" s="3">
        <v>18.789951304071572</v>
      </c>
      <c r="L24" s="3">
        <v>20.250878661272857</v>
      </c>
      <c r="M24" s="3">
        <v>22.003991489914394</v>
      </c>
    </row>
    <row r="25" spans="2:14" x14ac:dyDescent="0.35">
      <c r="B25" s="22" t="s">
        <v>235</v>
      </c>
      <c r="C25" s="22"/>
      <c r="E25" s="24" t="s">
        <v>227</v>
      </c>
      <c r="F25" s="26">
        <f>F24/C21</f>
        <v>15.760182843293283</v>
      </c>
      <c r="H25" s="13">
        <v>8.5000000000000006E-2</v>
      </c>
      <c r="I25" s="3">
        <v>15.224957743679161</v>
      </c>
      <c r="J25" s="3">
        <v>16.122290134561347</v>
      </c>
      <c r="K25" s="3">
        <v>17.157673662502329</v>
      </c>
      <c r="L25" s="3">
        <v>18.365621111766806</v>
      </c>
      <c r="M25" s="3">
        <v>19.793195369988467</v>
      </c>
    </row>
    <row r="26" spans="2:14" x14ac:dyDescent="0.35">
      <c r="B26" s="35">
        <v>12.3</v>
      </c>
      <c r="H26" s="13">
        <v>0.09</v>
      </c>
      <c r="I26" s="3">
        <v>14.115921608400742</v>
      </c>
      <c r="J26" s="3">
        <v>14.883243518017256</v>
      </c>
      <c r="K26" s="3">
        <v>15.760182843293283</v>
      </c>
      <c r="L26" s="3">
        <v>16.772035910919456</v>
      </c>
      <c r="M26" s="3">
        <v>17.952531156483335</v>
      </c>
    </row>
    <row r="27" spans="2:14" x14ac:dyDescent="0.35">
      <c r="B27" s="28" t="s">
        <v>237</v>
      </c>
      <c r="H27" s="13">
        <v>9.5000000000000001E-2</v>
      </c>
      <c r="I27" s="3">
        <v>13.138787196527597</v>
      </c>
      <c r="J27" s="3">
        <v>13.800518729824413</v>
      </c>
      <c r="K27" s="3">
        <v>14.550481134227473</v>
      </c>
      <c r="L27" s="3">
        <v>15.407581024973824</v>
      </c>
      <c r="M27" s="3">
        <v>16.396542437373466</v>
      </c>
    </row>
    <row r="28" spans="2:14" x14ac:dyDescent="0.35">
      <c r="B28" s="29">
        <f>(F25-B26)/B26</f>
        <v>0.28131567831652698</v>
      </c>
      <c r="H28" s="12">
        <v>0.1</v>
      </c>
      <c r="I28" s="3">
        <v>12.271534715474937</v>
      </c>
      <c r="J28" s="3">
        <v>12.846493188016071</v>
      </c>
      <c r="K28" s="3">
        <v>13.493321469624853</v>
      </c>
      <c r="L28" s="3">
        <v>14.226393522114797</v>
      </c>
      <c r="M28" s="3">
        <v>15.064190153531886</v>
      </c>
    </row>
    <row r="29" spans="2:14" x14ac:dyDescent="0.35">
      <c r="B29" s="27"/>
      <c r="H29" s="5" t="s">
        <v>231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zoomScale="85" zoomScaleNormal="85" workbookViewId="0">
      <selection activeCell="O11" sqref="O11"/>
    </sheetView>
  </sheetViews>
  <sheetFormatPr defaultRowHeight="14.5" x14ac:dyDescent="0.35"/>
  <cols>
    <col min="1" max="1" width="11.7265625" customWidth="1"/>
    <col min="2" max="2" width="14.54296875" customWidth="1"/>
    <col min="3" max="3" width="10.26953125" customWidth="1"/>
    <col min="4" max="4" width="9.81640625" customWidth="1"/>
    <col min="5" max="5" width="13.1796875" customWidth="1"/>
    <col min="6" max="6" width="13.36328125" customWidth="1"/>
    <col min="7" max="7" width="13.1796875" customWidth="1"/>
    <col min="8" max="8" width="14.54296875" customWidth="1"/>
    <col min="9" max="9" width="12.08984375" customWidth="1"/>
    <col min="10" max="10" width="12.26953125" customWidth="1"/>
    <col min="11" max="11" width="15.54296875" customWidth="1"/>
    <col min="12" max="12" width="14.1796875" customWidth="1"/>
  </cols>
  <sheetData>
    <row r="1" spans="1:13" x14ac:dyDescent="0.35">
      <c r="A1" s="5" t="s">
        <v>174</v>
      </c>
      <c r="B1" s="7">
        <v>45992</v>
      </c>
      <c r="C1" t="s">
        <v>180</v>
      </c>
    </row>
    <row r="2" spans="1:13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6"/>
    </row>
    <row r="3" spans="1:13" x14ac:dyDescent="0.35">
      <c r="A3" t="s">
        <v>12</v>
      </c>
      <c r="B3">
        <v>14.3</v>
      </c>
      <c r="C3">
        <v>0.83099999999999996</v>
      </c>
      <c r="D3">
        <v>23.064516000000001</v>
      </c>
      <c r="E3">
        <v>17.166865999999999</v>
      </c>
      <c r="F3">
        <v>0.83299999999999996</v>
      </c>
      <c r="G3">
        <v>0.62</v>
      </c>
      <c r="H3">
        <v>0.48599999999999999</v>
      </c>
      <c r="I3">
        <v>1.5720000000000001</v>
      </c>
      <c r="J3">
        <v>0.71331999999999995</v>
      </c>
      <c r="K3" t="s">
        <v>238</v>
      </c>
      <c r="L3">
        <v>0.151</v>
      </c>
    </row>
    <row r="5" spans="1:13" x14ac:dyDescent="0.35">
      <c r="A5" s="5" t="s">
        <v>173</v>
      </c>
      <c r="K5" s="5" t="s">
        <v>234</v>
      </c>
      <c r="L5" s="8">
        <v>12.3</v>
      </c>
    </row>
    <row r="6" spans="1:13" x14ac:dyDescent="0.35">
      <c r="D6" s="5" t="s">
        <v>179</v>
      </c>
      <c r="L6" s="5" t="s">
        <v>236</v>
      </c>
    </row>
    <row r="7" spans="1:13" x14ac:dyDescent="0.35">
      <c r="A7" t="s">
        <v>175</v>
      </c>
      <c r="B7" s="8">
        <v>14.3</v>
      </c>
      <c r="K7" s="5" t="s">
        <v>181</v>
      </c>
    </row>
    <row r="8" spans="1:13" x14ac:dyDescent="0.35">
      <c r="A8" t="s">
        <v>167</v>
      </c>
      <c r="B8" s="8">
        <v>15.8</v>
      </c>
      <c r="K8" t="s">
        <v>185</v>
      </c>
      <c r="L8" s="10">
        <f>B3*Tase!B4</f>
        <v>1212.3104279000001</v>
      </c>
      <c r="M8" t="s">
        <v>186</v>
      </c>
    </row>
    <row r="9" spans="1:13" x14ac:dyDescent="0.35">
      <c r="A9" t="s">
        <v>176</v>
      </c>
      <c r="B9" s="8">
        <v>14.5</v>
      </c>
      <c r="K9" t="s">
        <v>182</v>
      </c>
      <c r="L9" s="10">
        <f>L8+L11</f>
        <v>1327.1104279000001</v>
      </c>
      <c r="M9" t="s">
        <v>195</v>
      </c>
    </row>
    <row r="10" spans="1:13" x14ac:dyDescent="0.35">
      <c r="A10" t="s">
        <v>177</v>
      </c>
      <c r="B10" s="8">
        <v>15.03</v>
      </c>
      <c r="K10" t="s">
        <v>183</v>
      </c>
      <c r="L10" s="10">
        <f>L9/Tuloslaskelma!B11</f>
        <v>20.323283735068916</v>
      </c>
    </row>
    <row r="11" spans="1:13" x14ac:dyDescent="0.35">
      <c r="A11" t="s">
        <v>178</v>
      </c>
      <c r="B11" s="8">
        <v>14.8</v>
      </c>
      <c r="K11" t="s">
        <v>65</v>
      </c>
      <c r="L11">
        <f>Tase!B6-Tase!B62</f>
        <v>114.8</v>
      </c>
      <c r="M11" t="s">
        <v>195</v>
      </c>
    </row>
    <row r="12" spans="1:13" x14ac:dyDescent="0.35">
      <c r="K12" t="s">
        <v>191</v>
      </c>
      <c r="L12" s="9">
        <f>Hinta!G35/Analyysi!B3</f>
        <v>2.4475524475524472E-2</v>
      </c>
    </row>
    <row r="13" spans="1:13" x14ac:dyDescent="0.35">
      <c r="A13" s="15">
        <v>2025</v>
      </c>
      <c r="B13" s="8"/>
    </row>
    <row r="14" spans="1:13" x14ac:dyDescent="0.35">
      <c r="A14" s="5" t="s">
        <v>197</v>
      </c>
      <c r="B14">
        <f>B17+B18-B19-B20</f>
        <v>46.040000000000006</v>
      </c>
      <c r="K14" s="5" t="s">
        <v>184</v>
      </c>
      <c r="L14" s="34">
        <f>((L8/L9)*L20+(L11/L9)*(L16/133.1)*0.8)</f>
        <v>8.9640935753709364E-2</v>
      </c>
    </row>
    <row r="15" spans="1:13" x14ac:dyDescent="0.35">
      <c r="A15" t="s">
        <v>22</v>
      </c>
      <c r="B15">
        <v>65.3</v>
      </c>
      <c r="K15" t="s">
        <v>189</v>
      </c>
      <c r="L15" s="12">
        <v>0.2</v>
      </c>
    </row>
    <row r="16" spans="1:13" x14ac:dyDescent="0.35">
      <c r="A16" t="s">
        <v>189</v>
      </c>
      <c r="B16" s="12">
        <v>0.2</v>
      </c>
      <c r="K16" t="s">
        <v>190</v>
      </c>
      <c r="L16">
        <v>5.4</v>
      </c>
    </row>
    <row r="17" spans="1:13" x14ac:dyDescent="0.35">
      <c r="A17" t="s">
        <v>198</v>
      </c>
      <c r="B17">
        <f>B15*(1-B16)</f>
        <v>52.24</v>
      </c>
      <c r="K17" t="s">
        <v>192</v>
      </c>
      <c r="L17" s="13">
        <v>7.5999999999999998E-2</v>
      </c>
      <c r="M17" s="5" t="s">
        <v>239</v>
      </c>
    </row>
    <row r="18" spans="1:13" x14ac:dyDescent="0.35">
      <c r="A18" t="s">
        <v>200</v>
      </c>
      <c r="B18">
        <v>19.100000000000001</v>
      </c>
      <c r="K18" t="s">
        <v>193</v>
      </c>
      <c r="L18" s="14">
        <v>3.1899999999999998E-2</v>
      </c>
      <c r="M18" s="5" t="s">
        <v>240</v>
      </c>
    </row>
    <row r="19" spans="1:13" x14ac:dyDescent="0.35">
      <c r="A19" t="s">
        <v>199</v>
      </c>
      <c r="B19">
        <v>7.1</v>
      </c>
      <c r="K19" t="s">
        <v>187</v>
      </c>
      <c r="L19">
        <v>133.1</v>
      </c>
      <c r="M19" t="s">
        <v>195</v>
      </c>
    </row>
    <row r="20" spans="1:13" x14ac:dyDescent="0.35">
      <c r="A20" t="s">
        <v>206</v>
      </c>
      <c r="B20">
        <v>18.2</v>
      </c>
      <c r="K20" s="5" t="s">
        <v>194</v>
      </c>
      <c r="L20" s="31">
        <f>L18+C3*(L17)</f>
        <v>9.5055999999999988E-2</v>
      </c>
    </row>
    <row r="21" spans="1:13" x14ac:dyDescent="0.35">
      <c r="K21" t="s">
        <v>196</v>
      </c>
      <c r="L21" s="12">
        <v>0.04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workbookViewId="0">
      <selection activeCell="D15" sqref="D15"/>
    </sheetView>
  </sheetViews>
  <sheetFormatPr defaultRowHeight="14.5" x14ac:dyDescent="0.35"/>
  <cols>
    <col min="1" max="1" width="52.26953125" customWidth="1"/>
    <col min="2" max="2" width="20.6328125" customWidth="1"/>
    <col min="3" max="3" width="21.453125" customWidth="1"/>
    <col min="4" max="4" width="24.6328125" customWidth="1"/>
    <col min="5" max="5" width="27.453125" customWidth="1"/>
    <col min="6" max="6" width="28.26953125" customWidth="1"/>
  </cols>
  <sheetData>
    <row r="1" spans="1:8" x14ac:dyDescent="0.35">
      <c r="B1" s="2">
        <v>45688</v>
      </c>
      <c r="C1" s="2">
        <v>45322</v>
      </c>
      <c r="D1" s="2">
        <v>44957</v>
      </c>
      <c r="E1" s="2">
        <v>44592</v>
      </c>
      <c r="F1" s="2">
        <v>44227</v>
      </c>
    </row>
    <row r="2" spans="1:8" x14ac:dyDescent="0.35">
      <c r="A2" s="1" t="s">
        <v>13</v>
      </c>
      <c r="B2">
        <v>0</v>
      </c>
      <c r="C2">
        <v>0</v>
      </c>
      <c r="D2">
        <v>0</v>
      </c>
      <c r="E2">
        <v>0</v>
      </c>
      <c r="H2" s="4" t="s">
        <v>172</v>
      </c>
    </row>
    <row r="3" spans="1:8" x14ac:dyDescent="0.35">
      <c r="A3" s="1" t="s">
        <v>14</v>
      </c>
      <c r="B3">
        <v>0.20033400000000001</v>
      </c>
      <c r="C3">
        <v>0.20041300000000001</v>
      </c>
      <c r="D3">
        <v>0.200456</v>
      </c>
      <c r="E3">
        <v>0.20050100000000001</v>
      </c>
      <c r="H3" s="4">
        <v>1000000</v>
      </c>
    </row>
    <row r="4" spans="1:8" x14ac:dyDescent="0.35">
      <c r="A4" s="1" t="s">
        <v>15</v>
      </c>
      <c r="B4">
        <v>84.4</v>
      </c>
      <c r="C4">
        <v>68.599999999999994</v>
      </c>
      <c r="D4">
        <v>60</v>
      </c>
      <c r="E4">
        <v>54.6</v>
      </c>
    </row>
    <row r="5" spans="1:8" x14ac:dyDescent="0.35">
      <c r="A5" s="1" t="s">
        <v>16</v>
      </c>
      <c r="B5">
        <v>0</v>
      </c>
      <c r="C5">
        <v>0</v>
      </c>
      <c r="D5">
        <v>0</v>
      </c>
      <c r="E5">
        <v>0</v>
      </c>
    </row>
    <row r="6" spans="1:8" x14ac:dyDescent="0.35">
      <c r="A6" s="1" t="s">
        <v>17</v>
      </c>
      <c r="B6">
        <v>0</v>
      </c>
      <c r="C6">
        <v>0</v>
      </c>
      <c r="D6">
        <v>0</v>
      </c>
      <c r="E6">
        <v>0</v>
      </c>
    </row>
    <row r="7" spans="1:8" x14ac:dyDescent="0.35">
      <c r="A7" s="1" t="s">
        <v>18</v>
      </c>
      <c r="B7">
        <v>47.9</v>
      </c>
      <c r="C7">
        <v>38.700000000000003</v>
      </c>
      <c r="D7">
        <v>35.1</v>
      </c>
      <c r="E7">
        <v>31.9</v>
      </c>
    </row>
    <row r="8" spans="1:8" x14ac:dyDescent="0.35">
      <c r="A8" s="1" t="s">
        <v>19</v>
      </c>
      <c r="B8">
        <v>19</v>
      </c>
      <c r="C8">
        <v>15.2</v>
      </c>
      <c r="D8">
        <v>13.5</v>
      </c>
      <c r="E8">
        <v>11.5</v>
      </c>
    </row>
    <row r="9" spans="1:8" x14ac:dyDescent="0.35">
      <c r="A9" s="1" t="s">
        <v>20</v>
      </c>
      <c r="B9">
        <v>238.8</v>
      </c>
      <c r="C9">
        <v>214.5</v>
      </c>
      <c r="D9">
        <v>189.3</v>
      </c>
      <c r="E9">
        <v>170.6</v>
      </c>
    </row>
    <row r="10" spans="1:8" x14ac:dyDescent="0.35">
      <c r="A10" s="1" t="s">
        <v>21</v>
      </c>
      <c r="B10">
        <v>84.4</v>
      </c>
      <c r="C10">
        <v>68.599999999999994</v>
      </c>
      <c r="D10">
        <v>60</v>
      </c>
      <c r="E10">
        <v>54.6</v>
      </c>
    </row>
    <row r="11" spans="1:8" x14ac:dyDescent="0.35">
      <c r="A11" s="1" t="s">
        <v>22</v>
      </c>
      <c r="B11">
        <v>65.3</v>
      </c>
      <c r="C11">
        <v>53.4</v>
      </c>
      <c r="D11">
        <v>46.5</v>
      </c>
      <c r="E11">
        <v>43.1</v>
      </c>
    </row>
    <row r="12" spans="1:8" x14ac:dyDescent="0.35">
      <c r="A12" s="1" t="s">
        <v>23</v>
      </c>
      <c r="B12">
        <v>-5.2</v>
      </c>
      <c r="C12">
        <v>-4.4000000000000004</v>
      </c>
      <c r="D12">
        <v>-3.1</v>
      </c>
      <c r="E12">
        <v>-4.5999999999999996</v>
      </c>
    </row>
    <row r="13" spans="1:8" x14ac:dyDescent="0.35">
      <c r="A13" s="1" t="s">
        <v>24</v>
      </c>
      <c r="B13">
        <v>5.4</v>
      </c>
      <c r="C13">
        <v>5</v>
      </c>
      <c r="D13">
        <v>2.6</v>
      </c>
      <c r="E13">
        <v>3.2</v>
      </c>
    </row>
    <row r="14" spans="1:8" x14ac:dyDescent="0.35">
      <c r="A14" s="1" t="s">
        <v>25</v>
      </c>
      <c r="B14">
        <v>0.6</v>
      </c>
      <c r="C14">
        <v>0.9</v>
      </c>
      <c r="D14">
        <v>0</v>
      </c>
      <c r="E14">
        <v>0</v>
      </c>
    </row>
    <row r="15" spans="1:8" x14ac:dyDescent="0.35">
      <c r="A15" s="1" t="s">
        <v>26</v>
      </c>
      <c r="B15">
        <v>47.9</v>
      </c>
      <c r="C15">
        <v>38.700000000000003</v>
      </c>
      <c r="D15">
        <v>35.1</v>
      </c>
      <c r="E15">
        <v>31.9</v>
      </c>
    </row>
    <row r="16" spans="1:8" x14ac:dyDescent="0.35">
      <c r="A16" s="1" t="s">
        <v>27</v>
      </c>
      <c r="B16">
        <v>47.9</v>
      </c>
      <c r="C16">
        <v>38.700000000000003</v>
      </c>
      <c r="D16">
        <v>35.1</v>
      </c>
      <c r="E16">
        <v>31.9</v>
      </c>
    </row>
    <row r="17" spans="1:5" x14ac:dyDescent="0.35">
      <c r="A17" s="1" t="s">
        <v>28</v>
      </c>
      <c r="B17">
        <v>318.7</v>
      </c>
      <c r="C17">
        <v>286</v>
      </c>
      <c r="D17">
        <v>249.6</v>
      </c>
      <c r="E17">
        <v>225.8</v>
      </c>
    </row>
    <row r="18" spans="1:5" x14ac:dyDescent="0.35">
      <c r="A18" s="1" t="s">
        <v>29</v>
      </c>
      <c r="B18">
        <v>65.099999999999994</v>
      </c>
      <c r="C18">
        <v>52.8</v>
      </c>
      <c r="D18">
        <v>47</v>
      </c>
      <c r="E18">
        <v>44.5</v>
      </c>
    </row>
    <row r="19" spans="1:5" x14ac:dyDescent="0.35">
      <c r="A19" s="1" t="s">
        <v>30</v>
      </c>
      <c r="B19">
        <v>84.221952999999999</v>
      </c>
      <c r="C19">
        <v>84.313659999999999</v>
      </c>
      <c r="D19">
        <v>84.586850999999996</v>
      </c>
      <c r="E19">
        <v>83.002499999999998</v>
      </c>
    </row>
    <row r="20" spans="1:5" x14ac:dyDescent="0.35">
      <c r="A20" s="1" t="s">
        <v>31</v>
      </c>
      <c r="B20">
        <v>84.221952999999999</v>
      </c>
      <c r="C20">
        <v>84.313659999999999</v>
      </c>
      <c r="D20">
        <v>84.586850999999996</v>
      </c>
      <c r="E20">
        <v>83.002499999999998</v>
      </c>
    </row>
    <row r="21" spans="1:5" x14ac:dyDescent="0.35">
      <c r="A21" s="1" t="s">
        <v>32</v>
      </c>
      <c r="B21">
        <v>0.56999999999999995</v>
      </c>
      <c r="C21">
        <v>0.46</v>
      </c>
      <c r="D21">
        <v>0.41</v>
      </c>
      <c r="E21">
        <v>0.38</v>
      </c>
    </row>
    <row r="22" spans="1:5" x14ac:dyDescent="0.35">
      <c r="A22" s="1" t="s">
        <v>33</v>
      </c>
      <c r="B22">
        <v>0.56999999999999995</v>
      </c>
      <c r="C22">
        <v>0.46</v>
      </c>
      <c r="D22">
        <v>0.41</v>
      </c>
      <c r="E22">
        <v>0.38</v>
      </c>
    </row>
    <row r="23" spans="1:5" x14ac:dyDescent="0.35">
      <c r="A23" s="1" t="s">
        <v>34</v>
      </c>
      <c r="B23">
        <v>47.9</v>
      </c>
      <c r="C23">
        <v>38.700000000000003</v>
      </c>
      <c r="D23">
        <v>35.1</v>
      </c>
      <c r="E23">
        <v>31.9</v>
      </c>
    </row>
    <row r="24" spans="1:5" x14ac:dyDescent="0.35">
      <c r="A24" s="1" t="s">
        <v>35</v>
      </c>
      <c r="B24">
        <v>47.9</v>
      </c>
      <c r="C24">
        <v>38.700000000000003</v>
      </c>
      <c r="D24">
        <v>35.1</v>
      </c>
      <c r="E24">
        <v>31.9</v>
      </c>
    </row>
    <row r="25" spans="1:5" x14ac:dyDescent="0.35">
      <c r="A25" s="1" t="s">
        <v>36</v>
      </c>
      <c r="B25">
        <v>0</v>
      </c>
      <c r="C25">
        <v>0</v>
      </c>
      <c r="D25">
        <v>0</v>
      </c>
      <c r="E25">
        <v>0</v>
      </c>
    </row>
    <row r="26" spans="1:5" x14ac:dyDescent="0.35">
      <c r="A26" s="1" t="s">
        <v>37</v>
      </c>
      <c r="B26">
        <v>47.9</v>
      </c>
      <c r="C26">
        <v>38.700000000000003</v>
      </c>
      <c r="D26">
        <v>35.1</v>
      </c>
      <c r="E26">
        <v>31.9</v>
      </c>
    </row>
    <row r="27" spans="1:5" x14ac:dyDescent="0.35">
      <c r="A27" s="1" t="s">
        <v>38</v>
      </c>
      <c r="B27">
        <v>47.9</v>
      </c>
      <c r="C27">
        <v>38.700000000000003</v>
      </c>
      <c r="D27">
        <v>35.1</v>
      </c>
      <c r="E27">
        <v>31.9</v>
      </c>
    </row>
    <row r="28" spans="1:5" x14ac:dyDescent="0.35">
      <c r="A28" s="1" t="s">
        <v>39</v>
      </c>
      <c r="B28">
        <v>47.9</v>
      </c>
      <c r="C28">
        <v>38.700000000000003</v>
      </c>
      <c r="D28">
        <v>35.1</v>
      </c>
      <c r="E28">
        <v>31.9</v>
      </c>
    </row>
    <row r="29" spans="1:5" x14ac:dyDescent="0.35">
      <c r="A29" s="1" t="s">
        <v>40</v>
      </c>
      <c r="B29">
        <v>12</v>
      </c>
      <c r="C29">
        <v>9.6999999999999993</v>
      </c>
      <c r="D29">
        <v>8.8000000000000007</v>
      </c>
      <c r="E29">
        <v>8</v>
      </c>
    </row>
    <row r="30" spans="1:5" x14ac:dyDescent="0.35">
      <c r="A30" s="1" t="s">
        <v>41</v>
      </c>
      <c r="B30">
        <v>59.9</v>
      </c>
      <c r="C30">
        <v>48.4</v>
      </c>
      <c r="D30">
        <v>43.9</v>
      </c>
      <c r="E30">
        <v>39.9</v>
      </c>
    </row>
    <row r="31" spans="1:5" x14ac:dyDescent="0.35">
      <c r="A31" s="1" t="s">
        <v>42</v>
      </c>
      <c r="B31">
        <v>0.3</v>
      </c>
      <c r="C31">
        <v>0.3</v>
      </c>
      <c r="D31">
        <v>0.3</v>
      </c>
      <c r="E31">
        <v>0.2</v>
      </c>
    </row>
    <row r="32" spans="1:5" x14ac:dyDescent="0.35">
      <c r="A32" s="1" t="s">
        <v>43</v>
      </c>
      <c r="B32">
        <v>0</v>
      </c>
      <c r="C32">
        <v>0</v>
      </c>
      <c r="D32">
        <v>0</v>
      </c>
      <c r="E32">
        <v>0</v>
      </c>
    </row>
    <row r="33" spans="1:6" x14ac:dyDescent="0.35">
      <c r="A33" s="1" t="s">
        <v>44</v>
      </c>
      <c r="B33">
        <v>0</v>
      </c>
      <c r="C33">
        <v>0</v>
      </c>
      <c r="D33">
        <v>0</v>
      </c>
      <c r="E33">
        <v>0</v>
      </c>
      <c r="F33">
        <v>-300000</v>
      </c>
    </row>
    <row r="34" spans="1:6" x14ac:dyDescent="0.35">
      <c r="A34" s="1" t="s">
        <v>45</v>
      </c>
      <c r="B34">
        <v>-5.2</v>
      </c>
      <c r="C34">
        <v>-4.4000000000000004</v>
      </c>
      <c r="D34">
        <v>-3.1</v>
      </c>
      <c r="E34">
        <v>-4.5999999999999996</v>
      </c>
    </row>
    <row r="35" spans="1:6" x14ac:dyDescent="0.35">
      <c r="A35" s="1" t="s">
        <v>46</v>
      </c>
      <c r="B35">
        <v>0.4</v>
      </c>
      <c r="C35">
        <v>0.3</v>
      </c>
      <c r="D35">
        <v>0.5</v>
      </c>
      <c r="E35">
        <v>1.4</v>
      </c>
    </row>
    <row r="36" spans="1:6" x14ac:dyDescent="0.35">
      <c r="A36" s="1" t="s">
        <v>47</v>
      </c>
      <c r="B36">
        <v>5.4</v>
      </c>
      <c r="C36">
        <v>5</v>
      </c>
      <c r="D36">
        <v>2.6</v>
      </c>
      <c r="E36">
        <v>3.2</v>
      </c>
    </row>
    <row r="37" spans="1:6" x14ac:dyDescent="0.35">
      <c r="A37" s="1" t="s">
        <v>48</v>
      </c>
      <c r="B37">
        <v>0.6</v>
      </c>
      <c r="C37">
        <v>0.9</v>
      </c>
      <c r="D37">
        <v>0</v>
      </c>
      <c r="E37">
        <v>0</v>
      </c>
    </row>
    <row r="38" spans="1:6" x14ac:dyDescent="0.35">
      <c r="A38" s="1" t="s">
        <v>49</v>
      </c>
      <c r="B38">
        <v>64.7</v>
      </c>
      <c r="C38">
        <v>52.4</v>
      </c>
      <c r="D38">
        <v>46.8</v>
      </c>
      <c r="E38">
        <v>44.3</v>
      </c>
    </row>
    <row r="39" spans="1:6" x14ac:dyDescent="0.35">
      <c r="A39" s="1" t="s">
        <v>50</v>
      </c>
      <c r="B39">
        <v>79.900000000000006</v>
      </c>
      <c r="C39">
        <v>71.5</v>
      </c>
      <c r="D39">
        <v>60.3</v>
      </c>
      <c r="E39">
        <v>55.2</v>
      </c>
    </row>
    <row r="40" spans="1:6" x14ac:dyDescent="0.35">
      <c r="A40" s="1" t="s">
        <v>51</v>
      </c>
      <c r="B40">
        <v>11.8</v>
      </c>
      <c r="C40">
        <v>11.1</v>
      </c>
      <c r="D40">
        <v>8.3000000000000007</v>
      </c>
      <c r="E40">
        <v>6.2</v>
      </c>
    </row>
    <row r="41" spans="1:6" x14ac:dyDescent="0.35">
      <c r="A41" s="1" t="s">
        <v>52</v>
      </c>
      <c r="B41">
        <v>19.100000000000001</v>
      </c>
      <c r="C41">
        <v>15.2</v>
      </c>
      <c r="D41">
        <v>13.4</v>
      </c>
      <c r="E41">
        <v>11.4</v>
      </c>
    </row>
    <row r="42" spans="1:6" x14ac:dyDescent="0.35">
      <c r="A42" s="1" t="s">
        <v>53</v>
      </c>
      <c r="B42">
        <v>2.8</v>
      </c>
      <c r="C42">
        <v>2.2000000000000002</v>
      </c>
      <c r="D42">
        <v>2.7</v>
      </c>
      <c r="E42">
        <v>1.9</v>
      </c>
    </row>
    <row r="43" spans="1:6" x14ac:dyDescent="0.35">
      <c r="A43" s="1" t="s">
        <v>54</v>
      </c>
      <c r="B43">
        <v>16.3</v>
      </c>
      <c r="C43">
        <v>13</v>
      </c>
      <c r="D43">
        <v>10.7</v>
      </c>
      <c r="E43">
        <v>9.5</v>
      </c>
    </row>
    <row r="44" spans="1:6" x14ac:dyDescent="0.35">
      <c r="A44" s="1" t="s">
        <v>55</v>
      </c>
      <c r="B44">
        <v>10.7</v>
      </c>
      <c r="C44">
        <v>10</v>
      </c>
      <c r="D44">
        <v>9.6999999999999993</v>
      </c>
      <c r="E44">
        <v>11.4</v>
      </c>
    </row>
    <row r="45" spans="1:6" x14ac:dyDescent="0.35">
      <c r="A45" s="1" t="s">
        <v>56</v>
      </c>
      <c r="B45">
        <v>8.9</v>
      </c>
      <c r="C45">
        <v>8.1</v>
      </c>
      <c r="D45">
        <v>7.6</v>
      </c>
      <c r="E45">
        <v>7.3</v>
      </c>
    </row>
    <row r="46" spans="1:6" x14ac:dyDescent="0.35">
      <c r="A46" s="1" t="s">
        <v>57</v>
      </c>
      <c r="B46">
        <v>1.8</v>
      </c>
      <c r="C46">
        <v>1.9</v>
      </c>
      <c r="D46">
        <v>2.1</v>
      </c>
      <c r="E46">
        <v>4.0999999999999996</v>
      </c>
    </row>
    <row r="47" spans="1:6" x14ac:dyDescent="0.35">
      <c r="A47" s="1" t="s">
        <v>58</v>
      </c>
      <c r="B47">
        <v>144.6</v>
      </c>
      <c r="C47">
        <v>123.9</v>
      </c>
      <c r="D47">
        <v>107.1</v>
      </c>
      <c r="E47">
        <v>99.5</v>
      </c>
    </row>
    <row r="48" spans="1:6" x14ac:dyDescent="0.35">
      <c r="A48" s="1" t="s">
        <v>59</v>
      </c>
      <c r="B48">
        <v>238.8</v>
      </c>
      <c r="C48">
        <v>214.5</v>
      </c>
      <c r="D48">
        <v>189.3</v>
      </c>
      <c r="E48">
        <v>170.6</v>
      </c>
    </row>
    <row r="49" spans="1:5" x14ac:dyDescent="0.35">
      <c r="A49" s="1" t="s">
        <v>60</v>
      </c>
      <c r="B49">
        <v>383.4</v>
      </c>
      <c r="C49">
        <v>338.4</v>
      </c>
      <c r="D49">
        <v>296.39999999999998</v>
      </c>
      <c r="E49">
        <v>270.10000000000002</v>
      </c>
    </row>
    <row r="50" spans="1:5" x14ac:dyDescent="0.35">
      <c r="A50" s="1" t="s">
        <v>61</v>
      </c>
      <c r="B50">
        <v>383.4</v>
      </c>
      <c r="C50">
        <v>338.4</v>
      </c>
      <c r="D50">
        <v>296.39999999999998</v>
      </c>
      <c r="E50">
        <v>270.10000000000002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2"/>
  <sheetViews>
    <sheetView zoomScaleNormal="100" workbookViewId="0">
      <selection activeCell="G12" sqref="G12"/>
    </sheetView>
  </sheetViews>
  <sheetFormatPr defaultRowHeight="14.5" x14ac:dyDescent="0.35"/>
  <cols>
    <col min="1" max="1" width="44.81640625" customWidth="1"/>
    <col min="2" max="3" width="24.08984375" customWidth="1"/>
    <col min="4" max="4" width="24.36328125" customWidth="1"/>
    <col min="5" max="5" width="24.81640625" customWidth="1"/>
    <col min="6" max="6" width="19.6328125" customWidth="1"/>
  </cols>
  <sheetData>
    <row r="1" spans="1:7" x14ac:dyDescent="0.35">
      <c r="B1" s="2">
        <v>45688</v>
      </c>
      <c r="C1" s="2">
        <v>45322</v>
      </c>
      <c r="D1" s="2">
        <v>44957</v>
      </c>
      <c r="E1" s="2">
        <v>44592</v>
      </c>
      <c r="F1" s="2">
        <v>44227</v>
      </c>
    </row>
    <row r="2" spans="1:7" x14ac:dyDescent="0.35">
      <c r="A2" s="1" t="s">
        <v>62</v>
      </c>
      <c r="B2">
        <v>0.55500000000000005</v>
      </c>
      <c r="C2">
        <v>0.55500000000000005</v>
      </c>
      <c r="D2">
        <v>0.315</v>
      </c>
      <c r="E2">
        <v>0</v>
      </c>
    </row>
    <row r="3" spans="1:7" x14ac:dyDescent="0.35">
      <c r="A3" s="1" t="s">
        <v>63</v>
      </c>
      <c r="B3">
        <v>84.221952999999999</v>
      </c>
      <c r="C3">
        <v>84.221952999999999</v>
      </c>
      <c r="D3">
        <v>85.139953000000006</v>
      </c>
      <c r="E3">
        <v>84.776953000000006</v>
      </c>
    </row>
    <row r="4" spans="1:7" x14ac:dyDescent="0.35">
      <c r="A4" s="1" t="s">
        <v>64</v>
      </c>
      <c r="B4">
        <v>84.776953000000006</v>
      </c>
      <c r="C4">
        <v>84.776953000000006</v>
      </c>
      <c r="D4">
        <v>85.454953000000003</v>
      </c>
      <c r="E4">
        <v>84.776953000000006</v>
      </c>
      <c r="G4" s="4" t="s">
        <v>172</v>
      </c>
    </row>
    <row r="5" spans="1:7" x14ac:dyDescent="0.35">
      <c r="A5" s="11" t="s">
        <v>188</v>
      </c>
      <c r="B5">
        <v>31.7</v>
      </c>
      <c r="C5">
        <v>28.5</v>
      </c>
      <c r="D5">
        <v>41.1</v>
      </c>
      <c r="E5">
        <v>53.3</v>
      </c>
      <c r="G5" s="4">
        <v>1000000</v>
      </c>
    </row>
    <row r="6" spans="1:7" x14ac:dyDescent="0.35">
      <c r="A6" s="1" t="s">
        <v>66</v>
      </c>
      <c r="B6">
        <v>133.1</v>
      </c>
      <c r="C6">
        <v>122.8</v>
      </c>
      <c r="D6">
        <v>123.3</v>
      </c>
      <c r="E6">
        <v>114.1</v>
      </c>
    </row>
    <row r="7" spans="1:7" x14ac:dyDescent="0.35">
      <c r="A7" s="1" t="s">
        <v>67</v>
      </c>
      <c r="B7">
        <v>52.4</v>
      </c>
      <c r="C7">
        <v>35.1</v>
      </c>
      <c r="D7">
        <v>25.3</v>
      </c>
      <c r="E7">
        <v>15</v>
      </c>
    </row>
    <row r="8" spans="1:7" x14ac:dyDescent="0.35">
      <c r="A8" s="1" t="s">
        <v>68</v>
      </c>
      <c r="B8">
        <v>151.80000000000001</v>
      </c>
      <c r="C8">
        <v>135</v>
      </c>
      <c r="D8">
        <v>146</v>
      </c>
      <c r="E8">
        <v>137.6</v>
      </c>
    </row>
    <row r="9" spans="1:7" x14ac:dyDescent="0.35">
      <c r="A9" s="1" t="s">
        <v>69</v>
      </c>
      <c r="B9">
        <v>84.6</v>
      </c>
      <c r="C9">
        <v>68</v>
      </c>
      <c r="D9">
        <v>86.1</v>
      </c>
      <c r="E9">
        <v>77.599999999999994</v>
      </c>
    </row>
    <row r="10" spans="1:7" x14ac:dyDescent="0.35">
      <c r="A10" s="1" t="s">
        <v>70</v>
      </c>
      <c r="B10">
        <v>52.4</v>
      </c>
      <c r="C10">
        <v>35.1</v>
      </c>
      <c r="D10">
        <v>25.3</v>
      </c>
      <c r="E10">
        <v>15</v>
      </c>
    </row>
    <row r="11" spans="1:7" x14ac:dyDescent="0.35">
      <c r="A11" s="1" t="s">
        <v>71</v>
      </c>
      <c r="B11">
        <v>83.1</v>
      </c>
      <c r="C11">
        <v>72.8</v>
      </c>
      <c r="D11">
        <v>53.4</v>
      </c>
      <c r="E11">
        <v>44.3</v>
      </c>
    </row>
    <row r="12" spans="1:7" x14ac:dyDescent="0.35">
      <c r="A12" s="1" t="s">
        <v>72</v>
      </c>
      <c r="B12">
        <v>101.8</v>
      </c>
      <c r="C12">
        <v>85</v>
      </c>
      <c r="D12">
        <v>76.099999999999994</v>
      </c>
      <c r="E12">
        <v>67.8</v>
      </c>
    </row>
    <row r="13" spans="1:7" x14ac:dyDescent="0.35">
      <c r="A13" s="1" t="s">
        <v>73</v>
      </c>
      <c r="B13">
        <v>151.80000000000001</v>
      </c>
      <c r="C13">
        <v>135</v>
      </c>
      <c r="D13">
        <v>146</v>
      </c>
      <c r="E13">
        <v>137.6</v>
      </c>
    </row>
    <row r="14" spans="1:7" x14ac:dyDescent="0.35">
      <c r="A14" s="1" t="s">
        <v>74</v>
      </c>
      <c r="B14">
        <v>101.8</v>
      </c>
      <c r="C14">
        <v>85</v>
      </c>
      <c r="D14">
        <v>76.099999999999994</v>
      </c>
      <c r="E14">
        <v>67.8</v>
      </c>
    </row>
    <row r="15" spans="1:7" x14ac:dyDescent="0.35">
      <c r="A15" s="1" t="s">
        <v>75</v>
      </c>
      <c r="B15">
        <v>101.8</v>
      </c>
      <c r="C15">
        <v>85</v>
      </c>
      <c r="D15">
        <v>76.099999999999994</v>
      </c>
      <c r="E15">
        <v>67.8</v>
      </c>
    </row>
    <row r="16" spans="1:7" x14ac:dyDescent="0.35">
      <c r="A16" s="1" t="s">
        <v>76</v>
      </c>
      <c r="B16">
        <v>-0.1</v>
      </c>
      <c r="C16">
        <v>0</v>
      </c>
      <c r="D16">
        <v>-0.1</v>
      </c>
      <c r="E16">
        <v>0</v>
      </c>
      <c r="F16">
        <v>-1000</v>
      </c>
    </row>
    <row r="17" spans="1:6" x14ac:dyDescent="0.35">
      <c r="A17" s="1" t="s">
        <v>77</v>
      </c>
      <c r="B17">
        <v>3.2</v>
      </c>
      <c r="C17">
        <v>0</v>
      </c>
      <c r="D17">
        <v>0</v>
      </c>
      <c r="E17">
        <v>0</v>
      </c>
    </row>
    <row r="18" spans="1:6" x14ac:dyDescent="0.35">
      <c r="A18" s="1" t="s">
        <v>78</v>
      </c>
      <c r="B18">
        <v>72.7</v>
      </c>
      <c r="C18">
        <v>55.9</v>
      </c>
      <c r="D18">
        <v>47.1</v>
      </c>
      <c r="E18">
        <v>38.700000000000003</v>
      </c>
    </row>
    <row r="19" spans="1:6" x14ac:dyDescent="0.35">
      <c r="A19" s="1" t="s">
        <v>79</v>
      </c>
      <c r="B19">
        <v>0.1</v>
      </c>
      <c r="C19">
        <v>0.1</v>
      </c>
      <c r="D19">
        <v>0.1</v>
      </c>
      <c r="E19">
        <v>0.1</v>
      </c>
    </row>
    <row r="20" spans="1:6" x14ac:dyDescent="0.35">
      <c r="A20" s="1" t="s">
        <v>80</v>
      </c>
      <c r="B20">
        <v>0.1</v>
      </c>
      <c r="C20">
        <v>0.1</v>
      </c>
      <c r="D20">
        <v>0.1</v>
      </c>
      <c r="E20">
        <v>0.1</v>
      </c>
    </row>
    <row r="21" spans="1:6" x14ac:dyDescent="0.35">
      <c r="A21" s="1" t="s">
        <v>81</v>
      </c>
      <c r="B21">
        <v>179</v>
      </c>
      <c r="C21">
        <v>163.5</v>
      </c>
      <c r="D21">
        <v>155.19999999999999</v>
      </c>
      <c r="E21">
        <v>146.5</v>
      </c>
    </row>
    <row r="22" spans="1:6" x14ac:dyDescent="0.35">
      <c r="A22" s="1" t="s">
        <v>82</v>
      </c>
      <c r="B22">
        <v>121.6</v>
      </c>
      <c r="C22">
        <v>111.8</v>
      </c>
      <c r="D22">
        <v>117.2</v>
      </c>
      <c r="E22">
        <v>110</v>
      </c>
    </row>
    <row r="23" spans="1:6" x14ac:dyDescent="0.35">
      <c r="A23" s="1" t="s">
        <v>83</v>
      </c>
      <c r="B23">
        <v>0</v>
      </c>
      <c r="C23">
        <v>0</v>
      </c>
      <c r="D23">
        <v>0</v>
      </c>
      <c r="E23">
        <v>0</v>
      </c>
      <c r="F23">
        <v>1000</v>
      </c>
    </row>
    <row r="24" spans="1:6" x14ac:dyDescent="0.35">
      <c r="A24" s="1" t="s">
        <v>84</v>
      </c>
      <c r="B24">
        <v>2.5</v>
      </c>
      <c r="C24">
        <v>2.7</v>
      </c>
      <c r="D24">
        <v>3</v>
      </c>
      <c r="E24">
        <v>3.2</v>
      </c>
    </row>
    <row r="25" spans="1:6" x14ac:dyDescent="0.35">
      <c r="A25" s="1" t="s">
        <v>85</v>
      </c>
      <c r="B25">
        <v>118.1</v>
      </c>
      <c r="C25">
        <v>108.2</v>
      </c>
      <c r="D25">
        <v>113.4</v>
      </c>
      <c r="E25">
        <v>106.1</v>
      </c>
    </row>
    <row r="26" spans="1:6" x14ac:dyDescent="0.35">
      <c r="A26" s="1" t="s">
        <v>86</v>
      </c>
      <c r="B26">
        <v>68.099999999999994</v>
      </c>
      <c r="C26">
        <v>58.2</v>
      </c>
      <c r="D26">
        <v>43.5</v>
      </c>
      <c r="E26">
        <v>36.299999999999997</v>
      </c>
    </row>
    <row r="27" spans="1:6" x14ac:dyDescent="0.35">
      <c r="A27" s="1" t="s">
        <v>87</v>
      </c>
      <c r="B27">
        <v>50</v>
      </c>
      <c r="C27">
        <v>50</v>
      </c>
      <c r="D27">
        <v>69.900000000000006</v>
      </c>
      <c r="E27">
        <v>69.8</v>
      </c>
    </row>
    <row r="28" spans="1:6" x14ac:dyDescent="0.35">
      <c r="A28" s="1" t="s">
        <v>88</v>
      </c>
      <c r="B28">
        <v>1</v>
      </c>
      <c r="C28">
        <v>0.9</v>
      </c>
      <c r="D28">
        <v>0.8</v>
      </c>
      <c r="E28">
        <v>0.7</v>
      </c>
    </row>
    <row r="29" spans="1:6" x14ac:dyDescent="0.35">
      <c r="A29" s="1" t="s">
        <v>89</v>
      </c>
      <c r="B29">
        <v>57.4</v>
      </c>
      <c r="C29">
        <v>51.7</v>
      </c>
      <c r="D29">
        <v>38</v>
      </c>
      <c r="E29">
        <v>36.5</v>
      </c>
    </row>
    <row r="30" spans="1:6" x14ac:dyDescent="0.35">
      <c r="A30" s="1" t="s">
        <v>90</v>
      </c>
      <c r="B30">
        <v>7.7</v>
      </c>
      <c r="C30">
        <v>5.7</v>
      </c>
      <c r="D30">
        <v>3.8</v>
      </c>
      <c r="E30">
        <v>5.3</v>
      </c>
    </row>
    <row r="31" spans="1:6" x14ac:dyDescent="0.35">
      <c r="A31" s="1" t="s">
        <v>91</v>
      </c>
      <c r="B31">
        <v>15</v>
      </c>
      <c r="C31">
        <v>14.6</v>
      </c>
      <c r="D31">
        <v>9.9</v>
      </c>
      <c r="E31">
        <v>8</v>
      </c>
    </row>
    <row r="32" spans="1:6" x14ac:dyDescent="0.35">
      <c r="A32" s="1" t="s">
        <v>92</v>
      </c>
      <c r="B32">
        <v>15</v>
      </c>
      <c r="C32">
        <v>14.6</v>
      </c>
      <c r="D32">
        <v>9.9</v>
      </c>
      <c r="E32">
        <v>8</v>
      </c>
    </row>
    <row r="33" spans="1:6" x14ac:dyDescent="0.35">
      <c r="A33" s="1" t="s">
        <v>93</v>
      </c>
      <c r="B33">
        <v>0</v>
      </c>
      <c r="C33">
        <v>0</v>
      </c>
      <c r="D33">
        <v>0</v>
      </c>
      <c r="E33">
        <v>0</v>
      </c>
      <c r="F33">
        <v>10000000</v>
      </c>
    </row>
    <row r="34" spans="1:6" x14ac:dyDescent="0.35">
      <c r="A34" s="1" t="s">
        <v>94</v>
      </c>
      <c r="B34">
        <v>5.7</v>
      </c>
      <c r="C34">
        <v>5.4</v>
      </c>
      <c r="D34">
        <v>4.3</v>
      </c>
      <c r="E34">
        <v>4.4000000000000004</v>
      </c>
    </row>
    <row r="35" spans="1:6" x14ac:dyDescent="0.35">
      <c r="A35" s="1" t="s">
        <v>95</v>
      </c>
      <c r="B35">
        <v>27</v>
      </c>
      <c r="C35">
        <v>24.1</v>
      </c>
      <c r="D35">
        <v>18.399999999999999</v>
      </c>
      <c r="E35">
        <v>17.399999999999999</v>
      </c>
    </row>
    <row r="36" spans="1:6" x14ac:dyDescent="0.35">
      <c r="A36" s="1" t="s">
        <v>96</v>
      </c>
      <c r="B36">
        <v>0.2</v>
      </c>
      <c r="C36">
        <v>0.2</v>
      </c>
      <c r="D36">
        <v>0.3</v>
      </c>
      <c r="E36">
        <v>0.1</v>
      </c>
    </row>
    <row r="37" spans="1:6" x14ac:dyDescent="0.35">
      <c r="A37" s="1" t="s">
        <v>97</v>
      </c>
      <c r="B37">
        <v>2.8</v>
      </c>
      <c r="C37">
        <v>2.7</v>
      </c>
      <c r="D37">
        <v>2</v>
      </c>
      <c r="E37">
        <v>4.0999999999999996</v>
      </c>
    </row>
    <row r="38" spans="1:6" x14ac:dyDescent="0.35">
      <c r="A38" s="1" t="s">
        <v>98</v>
      </c>
      <c r="B38">
        <v>24</v>
      </c>
      <c r="C38">
        <v>21.2</v>
      </c>
      <c r="D38">
        <v>16.100000000000001</v>
      </c>
      <c r="E38">
        <v>13.2</v>
      </c>
    </row>
    <row r="39" spans="1:6" x14ac:dyDescent="0.35">
      <c r="A39" s="1" t="s">
        <v>99</v>
      </c>
      <c r="B39">
        <v>280.8</v>
      </c>
      <c r="C39">
        <v>248.5</v>
      </c>
      <c r="D39">
        <v>231.3</v>
      </c>
      <c r="E39">
        <v>214.3</v>
      </c>
    </row>
    <row r="40" spans="1:6" x14ac:dyDescent="0.35">
      <c r="A40" s="1" t="s">
        <v>100</v>
      </c>
      <c r="B40">
        <v>138.80000000000001</v>
      </c>
      <c r="C40">
        <v>126.8</v>
      </c>
      <c r="D40">
        <v>107.2</v>
      </c>
      <c r="E40">
        <v>100.2</v>
      </c>
    </row>
    <row r="41" spans="1:6" x14ac:dyDescent="0.35">
      <c r="A41" s="1" t="s">
        <v>101</v>
      </c>
      <c r="B41">
        <v>0</v>
      </c>
      <c r="C41">
        <v>-0.1</v>
      </c>
      <c r="D41">
        <v>0</v>
      </c>
      <c r="E41">
        <v>0.1</v>
      </c>
      <c r="F41">
        <v>-1000</v>
      </c>
    </row>
    <row r="42" spans="1:6" x14ac:dyDescent="0.35">
      <c r="A42" s="1" t="s">
        <v>102</v>
      </c>
      <c r="B42">
        <v>1.3</v>
      </c>
      <c r="C42">
        <v>1</v>
      </c>
      <c r="D42">
        <v>0.7</v>
      </c>
      <c r="E42">
        <v>0.5</v>
      </c>
    </row>
    <row r="43" spans="1:6" x14ac:dyDescent="0.35">
      <c r="A43" s="1" t="s">
        <v>103</v>
      </c>
      <c r="B43">
        <v>49.4</v>
      </c>
      <c r="C43">
        <v>49.9</v>
      </c>
      <c r="D43">
        <v>50.8</v>
      </c>
      <c r="E43">
        <v>52.8</v>
      </c>
    </row>
    <row r="44" spans="1:6" x14ac:dyDescent="0.35">
      <c r="A44" s="1" t="s">
        <v>104</v>
      </c>
      <c r="B44">
        <v>15.9</v>
      </c>
      <c r="C44">
        <v>16.399999999999999</v>
      </c>
      <c r="D44">
        <v>17.3</v>
      </c>
      <c r="E44">
        <v>19.3</v>
      </c>
    </row>
    <row r="45" spans="1:6" x14ac:dyDescent="0.35">
      <c r="A45" s="1" t="s">
        <v>105</v>
      </c>
      <c r="B45">
        <v>33.5</v>
      </c>
      <c r="C45">
        <v>33.5</v>
      </c>
      <c r="D45">
        <v>33.5</v>
      </c>
      <c r="E45">
        <v>33.5</v>
      </c>
    </row>
    <row r="46" spans="1:6" x14ac:dyDescent="0.35">
      <c r="A46" s="1" t="s">
        <v>106</v>
      </c>
      <c r="B46">
        <v>88.1</v>
      </c>
      <c r="C46">
        <v>76</v>
      </c>
      <c r="D46">
        <v>55.7</v>
      </c>
      <c r="E46">
        <v>46.8</v>
      </c>
    </row>
    <row r="47" spans="1:6" x14ac:dyDescent="0.35">
      <c r="A47" s="1" t="s">
        <v>107</v>
      </c>
      <c r="B47">
        <v>-7.2</v>
      </c>
      <c r="C47">
        <v>-5.7</v>
      </c>
      <c r="D47">
        <v>-4.5999999999999996</v>
      </c>
      <c r="E47">
        <v>-3.6</v>
      </c>
    </row>
    <row r="48" spans="1:6" x14ac:dyDescent="0.35">
      <c r="A48" s="1" t="s">
        <v>108</v>
      </c>
      <c r="B48">
        <v>95.3</v>
      </c>
      <c r="C48">
        <v>81.7</v>
      </c>
      <c r="D48">
        <v>60.3</v>
      </c>
      <c r="E48">
        <v>50.4</v>
      </c>
    </row>
    <row r="49" spans="1:6" x14ac:dyDescent="0.35">
      <c r="A49" s="1" t="s">
        <v>109</v>
      </c>
      <c r="B49">
        <v>82.2</v>
      </c>
      <c r="C49">
        <v>72</v>
      </c>
      <c r="D49">
        <v>53.1</v>
      </c>
      <c r="E49">
        <v>44.4</v>
      </c>
    </row>
    <row r="50" spans="1:6" x14ac:dyDescent="0.35">
      <c r="A50" s="1" t="s">
        <v>110</v>
      </c>
      <c r="B50">
        <v>12.3</v>
      </c>
      <c r="C50">
        <v>8.9</v>
      </c>
      <c r="D50">
        <v>6.4</v>
      </c>
      <c r="E50">
        <v>5.2</v>
      </c>
    </row>
    <row r="51" spans="1:6" x14ac:dyDescent="0.35">
      <c r="A51" s="1" t="s">
        <v>111</v>
      </c>
      <c r="B51">
        <v>0.8</v>
      </c>
      <c r="C51">
        <v>0.8</v>
      </c>
      <c r="D51">
        <v>0.8</v>
      </c>
      <c r="E51">
        <v>0.8</v>
      </c>
    </row>
    <row r="52" spans="1:6" x14ac:dyDescent="0.35">
      <c r="A52" s="1" t="s">
        <v>112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5">
      <c r="A53" s="1" t="s">
        <v>113</v>
      </c>
      <c r="B53">
        <v>0</v>
      </c>
      <c r="C53">
        <v>0</v>
      </c>
      <c r="D53">
        <v>0</v>
      </c>
      <c r="E53">
        <v>0</v>
      </c>
    </row>
    <row r="54" spans="1:6" x14ac:dyDescent="0.35">
      <c r="A54" s="1" t="s">
        <v>114</v>
      </c>
      <c r="B54">
        <v>142</v>
      </c>
      <c r="C54">
        <v>121.7</v>
      </c>
      <c r="D54">
        <v>124.1</v>
      </c>
      <c r="E54">
        <v>114.1</v>
      </c>
    </row>
    <row r="55" spans="1:6" x14ac:dyDescent="0.35">
      <c r="A55" s="1" t="s">
        <v>115</v>
      </c>
      <c r="B55">
        <v>0.1</v>
      </c>
      <c r="C55">
        <v>0</v>
      </c>
      <c r="D55">
        <v>0</v>
      </c>
      <c r="E55">
        <v>0</v>
      </c>
      <c r="F55">
        <v>-100000</v>
      </c>
    </row>
    <row r="56" spans="1:6" x14ac:dyDescent="0.35">
      <c r="A56" s="1" t="s">
        <v>116</v>
      </c>
      <c r="B56">
        <v>1.5</v>
      </c>
      <c r="C56">
        <v>1.4</v>
      </c>
      <c r="D56">
        <v>2</v>
      </c>
      <c r="E56">
        <v>2.7</v>
      </c>
    </row>
    <row r="57" spans="1:6" x14ac:dyDescent="0.35">
      <c r="A57" s="1" t="s">
        <v>117</v>
      </c>
      <c r="B57">
        <v>113.9</v>
      </c>
      <c r="C57">
        <v>91.6</v>
      </c>
      <c r="D57">
        <v>89.2</v>
      </c>
      <c r="E57">
        <v>90.9</v>
      </c>
    </row>
    <row r="58" spans="1:6" x14ac:dyDescent="0.35">
      <c r="A58" s="1" t="s">
        <v>118</v>
      </c>
      <c r="B58">
        <v>113.9</v>
      </c>
      <c r="C58">
        <v>91.6</v>
      </c>
      <c r="D58">
        <v>89.2</v>
      </c>
      <c r="E58">
        <v>90.9</v>
      </c>
    </row>
    <row r="59" spans="1:6" x14ac:dyDescent="0.35">
      <c r="A59" s="1" t="s">
        <v>119</v>
      </c>
      <c r="B59">
        <v>2.2999999999999998</v>
      </c>
      <c r="C59">
        <v>1.9</v>
      </c>
      <c r="D59">
        <v>0</v>
      </c>
      <c r="E59">
        <v>0</v>
      </c>
      <c r="F59">
        <v>100000</v>
      </c>
    </row>
    <row r="60" spans="1:6" x14ac:dyDescent="0.35">
      <c r="A60" s="1" t="s">
        <v>120</v>
      </c>
      <c r="B60">
        <v>5.9</v>
      </c>
      <c r="C60">
        <v>5.3</v>
      </c>
      <c r="D60">
        <v>4.0999999999999996</v>
      </c>
      <c r="E60">
        <v>4</v>
      </c>
    </row>
    <row r="61" spans="1:6" x14ac:dyDescent="0.35">
      <c r="A61" s="1" t="s">
        <v>121</v>
      </c>
      <c r="B61">
        <v>18.3</v>
      </c>
      <c r="C61">
        <v>21.5</v>
      </c>
      <c r="D61">
        <v>28.8</v>
      </c>
      <c r="E61">
        <v>16.5</v>
      </c>
    </row>
    <row r="62" spans="1:6" x14ac:dyDescent="0.35">
      <c r="A62" s="1" t="s">
        <v>122</v>
      </c>
      <c r="B62">
        <v>18.3</v>
      </c>
      <c r="C62">
        <v>21.5</v>
      </c>
      <c r="D62">
        <v>28.8</v>
      </c>
      <c r="E62">
        <v>16.5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"/>
  <sheetViews>
    <sheetView workbookViewId="0">
      <selection activeCell="D7" sqref="D7"/>
    </sheetView>
  </sheetViews>
  <sheetFormatPr defaultRowHeight="14.5" x14ac:dyDescent="0.35"/>
  <cols>
    <col min="1" max="1" width="28.08984375" customWidth="1"/>
    <col min="2" max="2" width="20.26953125" customWidth="1"/>
    <col min="3" max="3" width="24.6328125" customWidth="1"/>
    <col min="4" max="4" width="22.81640625" customWidth="1"/>
    <col min="5" max="5" width="25.81640625" customWidth="1"/>
    <col min="6" max="6" width="27.08984375" customWidth="1"/>
  </cols>
  <sheetData>
    <row r="1" spans="1:7" x14ac:dyDescent="0.35">
      <c r="B1" s="2">
        <v>45688</v>
      </c>
      <c r="C1" s="2">
        <v>45322</v>
      </c>
      <c r="D1" s="2">
        <v>44957</v>
      </c>
      <c r="E1" s="2">
        <v>44592</v>
      </c>
      <c r="F1" s="2">
        <v>44227</v>
      </c>
      <c r="G1" t="s">
        <v>172</v>
      </c>
    </row>
    <row r="2" spans="1:7" x14ac:dyDescent="0.35">
      <c r="A2" s="1" t="s">
        <v>123</v>
      </c>
      <c r="B2">
        <v>42</v>
      </c>
      <c r="C2">
        <v>53.3</v>
      </c>
      <c r="D2">
        <v>47.8</v>
      </c>
      <c r="E2">
        <v>5.3</v>
      </c>
      <c r="F2">
        <v>0</v>
      </c>
      <c r="G2">
        <v>1000000</v>
      </c>
    </row>
    <row r="3" spans="1:7" x14ac:dyDescent="0.35">
      <c r="A3" s="1" t="s">
        <v>124</v>
      </c>
      <c r="B3">
        <v>0</v>
      </c>
      <c r="C3">
        <v>-1.7</v>
      </c>
      <c r="D3">
        <v>-1.5</v>
      </c>
      <c r="E3">
        <v>0</v>
      </c>
      <c r="F3">
        <v>0</v>
      </c>
    </row>
    <row r="4" spans="1:7" x14ac:dyDescent="0.35">
      <c r="A4" s="1" t="s">
        <v>125</v>
      </c>
      <c r="B4">
        <v>0</v>
      </c>
      <c r="C4">
        <v>-20</v>
      </c>
      <c r="D4">
        <v>-8</v>
      </c>
      <c r="E4">
        <v>-91</v>
      </c>
      <c r="F4">
        <v>0</v>
      </c>
    </row>
    <row r="5" spans="1:7" x14ac:dyDescent="0.35">
      <c r="A5" s="1" t="s">
        <v>126</v>
      </c>
      <c r="B5">
        <v>0</v>
      </c>
      <c r="C5">
        <v>0</v>
      </c>
      <c r="D5">
        <v>8</v>
      </c>
      <c r="E5">
        <v>70</v>
      </c>
      <c r="F5">
        <v>100</v>
      </c>
    </row>
    <row r="6" spans="1:7" x14ac:dyDescent="0.35">
      <c r="A6" s="1" t="s">
        <v>127</v>
      </c>
      <c r="B6">
        <v>0</v>
      </c>
      <c r="C6">
        <v>0</v>
      </c>
      <c r="D6">
        <v>0</v>
      </c>
      <c r="E6">
        <v>28.6</v>
      </c>
      <c r="F6">
        <v>0</v>
      </c>
    </row>
    <row r="7" spans="1:7" x14ac:dyDescent="0.35">
      <c r="A7" s="1" t="s">
        <v>128</v>
      </c>
      <c r="B7">
        <v>-7.1</v>
      </c>
      <c r="C7">
        <v>-4.7</v>
      </c>
      <c r="D7">
        <v>-2.6</v>
      </c>
      <c r="E7">
        <v>-4.4000000000000004</v>
      </c>
      <c r="F7">
        <v>0</v>
      </c>
    </row>
    <row r="8" spans="1:7" x14ac:dyDescent="0.35">
      <c r="A8" s="1" t="s">
        <v>129</v>
      </c>
      <c r="B8">
        <v>18.3</v>
      </c>
      <c r="C8">
        <v>21.5</v>
      </c>
      <c r="D8">
        <v>28.8</v>
      </c>
      <c r="E8">
        <v>16.5</v>
      </c>
      <c r="F8">
        <v>0</v>
      </c>
    </row>
    <row r="9" spans="1:7" x14ac:dyDescent="0.35">
      <c r="A9" s="1" t="s">
        <v>130</v>
      </c>
      <c r="B9">
        <v>-0.1</v>
      </c>
      <c r="C9">
        <v>0.1</v>
      </c>
      <c r="D9">
        <v>0.1</v>
      </c>
      <c r="E9">
        <v>0</v>
      </c>
      <c r="F9">
        <v>-1E-3</v>
      </c>
    </row>
    <row r="10" spans="1:7" x14ac:dyDescent="0.35">
      <c r="A10" s="1" t="s">
        <v>131</v>
      </c>
      <c r="B10">
        <v>21.5</v>
      </c>
      <c r="C10">
        <v>28.8</v>
      </c>
      <c r="D10">
        <v>16.5</v>
      </c>
      <c r="E10">
        <v>11.2</v>
      </c>
      <c r="F10">
        <v>0</v>
      </c>
    </row>
    <row r="11" spans="1:7" x14ac:dyDescent="0.35">
      <c r="A11" s="1" t="s">
        <v>132</v>
      </c>
      <c r="B11">
        <v>-3.1</v>
      </c>
      <c r="C11">
        <v>-7.4</v>
      </c>
      <c r="D11">
        <v>12.2</v>
      </c>
      <c r="E11">
        <v>5.3</v>
      </c>
      <c r="F11">
        <v>0</v>
      </c>
    </row>
    <row r="12" spans="1:7" x14ac:dyDescent="0.35">
      <c r="A12" s="1" t="s">
        <v>133</v>
      </c>
      <c r="B12">
        <v>-45.1</v>
      </c>
      <c r="C12">
        <v>-60.7</v>
      </c>
      <c r="D12">
        <v>-35.6</v>
      </c>
      <c r="E12">
        <v>0</v>
      </c>
      <c r="F12">
        <v>0</v>
      </c>
    </row>
    <row r="13" spans="1:7" x14ac:dyDescent="0.35">
      <c r="A13" s="1" t="s">
        <v>134</v>
      </c>
      <c r="B13">
        <v>0</v>
      </c>
      <c r="C13">
        <v>0</v>
      </c>
      <c r="D13">
        <v>-0.1</v>
      </c>
      <c r="E13">
        <v>0</v>
      </c>
      <c r="F13">
        <v>-0.1</v>
      </c>
    </row>
    <row r="14" spans="1:7" x14ac:dyDescent="0.35">
      <c r="A14" s="1" t="s">
        <v>135</v>
      </c>
      <c r="B14">
        <v>-32</v>
      </c>
      <c r="C14">
        <v>-28.7</v>
      </c>
      <c r="D14">
        <v>-25.4</v>
      </c>
      <c r="E14">
        <v>0</v>
      </c>
      <c r="F14">
        <v>-50.1</v>
      </c>
    </row>
    <row r="15" spans="1:7" x14ac:dyDescent="0.35">
      <c r="A15" s="1" t="s">
        <v>136</v>
      </c>
      <c r="B15">
        <v>0</v>
      </c>
      <c r="C15">
        <v>-1.7</v>
      </c>
      <c r="D15">
        <v>-1.5</v>
      </c>
      <c r="E15">
        <v>28.6</v>
      </c>
      <c r="F15">
        <v>0</v>
      </c>
    </row>
    <row r="16" spans="1:7" x14ac:dyDescent="0.35">
      <c r="A16" s="1" t="s">
        <v>137</v>
      </c>
      <c r="B16">
        <v>0</v>
      </c>
      <c r="C16">
        <v>-1.7</v>
      </c>
      <c r="D16">
        <v>-1.5</v>
      </c>
      <c r="E16">
        <v>0</v>
      </c>
      <c r="F16">
        <v>0</v>
      </c>
    </row>
    <row r="17" spans="1:6" x14ac:dyDescent="0.35">
      <c r="A17" s="1" t="s">
        <v>138</v>
      </c>
      <c r="B17">
        <v>0</v>
      </c>
      <c r="C17">
        <v>0</v>
      </c>
      <c r="D17">
        <v>0</v>
      </c>
      <c r="E17">
        <v>28.6</v>
      </c>
      <c r="F17">
        <v>0</v>
      </c>
    </row>
    <row r="18" spans="1:6" x14ac:dyDescent="0.35">
      <c r="A18" s="1" t="s">
        <v>139</v>
      </c>
      <c r="B18">
        <v>0</v>
      </c>
      <c r="C18">
        <v>-20</v>
      </c>
      <c r="D18">
        <v>0</v>
      </c>
      <c r="E18">
        <v>-21</v>
      </c>
      <c r="F18">
        <v>0</v>
      </c>
    </row>
    <row r="19" spans="1:6" x14ac:dyDescent="0.35">
      <c r="A19" s="1" t="s">
        <v>140</v>
      </c>
      <c r="B19">
        <v>0</v>
      </c>
      <c r="C19">
        <v>-20</v>
      </c>
      <c r="D19">
        <v>0</v>
      </c>
      <c r="E19">
        <v>-21</v>
      </c>
      <c r="F19">
        <v>0</v>
      </c>
    </row>
    <row r="20" spans="1:6" x14ac:dyDescent="0.35">
      <c r="A20" s="1" t="s">
        <v>141</v>
      </c>
      <c r="B20">
        <v>0</v>
      </c>
      <c r="C20">
        <v>-20</v>
      </c>
      <c r="D20">
        <v>-8</v>
      </c>
      <c r="E20">
        <v>-91</v>
      </c>
      <c r="F20">
        <v>0</v>
      </c>
    </row>
    <row r="21" spans="1:6" x14ac:dyDescent="0.35">
      <c r="A21" s="1" t="s">
        <v>142</v>
      </c>
      <c r="B21">
        <v>0</v>
      </c>
      <c r="C21">
        <v>0</v>
      </c>
      <c r="D21">
        <v>8</v>
      </c>
      <c r="E21">
        <v>70</v>
      </c>
      <c r="F21">
        <v>100</v>
      </c>
    </row>
    <row r="22" spans="1:6" x14ac:dyDescent="0.35">
      <c r="A22" s="1" t="s">
        <v>143</v>
      </c>
      <c r="B22">
        <v>-7.1</v>
      </c>
      <c r="C22">
        <v>-4.7</v>
      </c>
      <c r="D22">
        <v>-2.6</v>
      </c>
      <c r="E22">
        <v>-4.4000000000000004</v>
      </c>
      <c r="F22">
        <v>0</v>
      </c>
    </row>
    <row r="23" spans="1:6" x14ac:dyDescent="0.35">
      <c r="A23" s="1" t="s">
        <v>144</v>
      </c>
      <c r="B23">
        <v>0</v>
      </c>
      <c r="C23">
        <v>-0.1</v>
      </c>
      <c r="D23">
        <v>0</v>
      </c>
      <c r="E23">
        <v>0</v>
      </c>
      <c r="F23">
        <v>0.1</v>
      </c>
    </row>
    <row r="24" spans="1:6" x14ac:dyDescent="0.35">
      <c r="A24" s="1" t="s">
        <v>145</v>
      </c>
      <c r="B24">
        <v>-2.2999999999999998</v>
      </c>
      <c r="C24">
        <v>-1.2</v>
      </c>
      <c r="D24">
        <v>-0.8</v>
      </c>
      <c r="E24">
        <v>-3.1</v>
      </c>
      <c r="F24">
        <v>0</v>
      </c>
    </row>
    <row r="25" spans="1:6" x14ac:dyDescent="0.35">
      <c r="A25" s="1" t="s">
        <v>146</v>
      </c>
      <c r="B25">
        <v>-2.2999999999999998</v>
      </c>
      <c r="C25">
        <v>-1.2</v>
      </c>
      <c r="D25">
        <v>-0.8</v>
      </c>
      <c r="E25">
        <v>-3.1</v>
      </c>
      <c r="F25">
        <v>0</v>
      </c>
    </row>
    <row r="26" spans="1:6" x14ac:dyDescent="0.35">
      <c r="A26" s="1" t="s">
        <v>147</v>
      </c>
      <c r="B26">
        <v>-4.8</v>
      </c>
      <c r="C26">
        <v>-3.4</v>
      </c>
      <c r="D26">
        <v>-1.8</v>
      </c>
      <c r="E26">
        <v>-1.3</v>
      </c>
      <c r="F26">
        <v>0</v>
      </c>
    </row>
    <row r="27" spans="1:6" x14ac:dyDescent="0.35">
      <c r="A27" s="1" t="s">
        <v>148</v>
      </c>
      <c r="B27">
        <v>0</v>
      </c>
      <c r="C27">
        <v>0.1</v>
      </c>
      <c r="D27">
        <v>0</v>
      </c>
      <c r="E27">
        <v>0</v>
      </c>
      <c r="F27">
        <v>0</v>
      </c>
    </row>
    <row r="28" spans="1:6" x14ac:dyDescent="0.35">
      <c r="A28" s="1" t="s">
        <v>149</v>
      </c>
      <c r="B28">
        <v>-4.8</v>
      </c>
      <c r="C28">
        <v>-3.5</v>
      </c>
      <c r="D28">
        <v>-1.8</v>
      </c>
      <c r="E28">
        <v>-1.3</v>
      </c>
      <c r="F28">
        <v>0</v>
      </c>
    </row>
    <row r="29" spans="1:6" x14ac:dyDescent="0.35">
      <c r="A29" s="1" t="s">
        <v>150</v>
      </c>
      <c r="B29">
        <v>49.1</v>
      </c>
      <c r="C29">
        <v>58</v>
      </c>
      <c r="D29">
        <v>50.4</v>
      </c>
      <c r="E29">
        <v>9.6999999999999993</v>
      </c>
      <c r="F29">
        <v>0</v>
      </c>
    </row>
    <row r="30" spans="1:6" x14ac:dyDescent="0.35">
      <c r="A30" s="1" t="s">
        <v>151</v>
      </c>
      <c r="B30">
        <v>-12.4</v>
      </c>
      <c r="C30">
        <v>-9.5</v>
      </c>
      <c r="D30">
        <v>-11.4</v>
      </c>
      <c r="E30">
        <v>-7.4</v>
      </c>
      <c r="F30">
        <v>0</v>
      </c>
    </row>
    <row r="31" spans="1:6" x14ac:dyDescent="0.35">
      <c r="A31" s="1" t="s">
        <v>152</v>
      </c>
      <c r="B31">
        <v>0.6</v>
      </c>
      <c r="C31">
        <v>0.9</v>
      </c>
      <c r="D31">
        <v>0</v>
      </c>
      <c r="E31">
        <v>0</v>
      </c>
      <c r="F31">
        <v>0</v>
      </c>
    </row>
    <row r="32" spans="1:6" x14ac:dyDescent="0.35">
      <c r="A32" s="1" t="s">
        <v>153</v>
      </c>
      <c r="B32">
        <v>-5.5</v>
      </c>
      <c r="C32">
        <v>-5</v>
      </c>
      <c r="D32">
        <v>-2.5</v>
      </c>
      <c r="E32">
        <v>-3.3</v>
      </c>
      <c r="F32">
        <v>0</v>
      </c>
    </row>
    <row r="33" spans="1:6" x14ac:dyDescent="0.35">
      <c r="A33" s="1" t="s">
        <v>154</v>
      </c>
      <c r="B33">
        <v>-18.2</v>
      </c>
      <c r="C33">
        <v>3.4</v>
      </c>
      <c r="D33">
        <v>3.9</v>
      </c>
      <c r="E33">
        <v>-34.9</v>
      </c>
      <c r="F33">
        <v>0</v>
      </c>
    </row>
    <row r="34" spans="1:6" x14ac:dyDescent="0.35">
      <c r="A34" s="1" t="s">
        <v>155</v>
      </c>
      <c r="B34">
        <v>5.2</v>
      </c>
      <c r="C34">
        <v>8.3000000000000007</v>
      </c>
      <c r="D34">
        <v>1.6</v>
      </c>
      <c r="E34">
        <v>-1.1000000000000001</v>
      </c>
      <c r="F34">
        <v>0</v>
      </c>
    </row>
    <row r="35" spans="1:6" x14ac:dyDescent="0.35">
      <c r="A35" s="1" t="s">
        <v>156</v>
      </c>
      <c r="B35">
        <v>-22.4</v>
      </c>
      <c r="C35">
        <v>-3.2</v>
      </c>
      <c r="D35">
        <v>2.2999999999999998</v>
      </c>
      <c r="E35">
        <v>-33.700000000000003</v>
      </c>
      <c r="F35">
        <v>0</v>
      </c>
    </row>
    <row r="36" spans="1:6" x14ac:dyDescent="0.35">
      <c r="A36" s="1" t="s">
        <v>157</v>
      </c>
      <c r="B36">
        <v>-1</v>
      </c>
      <c r="C36">
        <v>-1.7</v>
      </c>
      <c r="D36">
        <v>0</v>
      </c>
      <c r="E36">
        <v>-0.1</v>
      </c>
      <c r="F36">
        <v>0</v>
      </c>
    </row>
    <row r="37" spans="1:6" x14ac:dyDescent="0.35">
      <c r="A37" s="1" t="s">
        <v>158</v>
      </c>
      <c r="B37">
        <v>6</v>
      </c>
      <c r="C37">
        <v>4.9000000000000004</v>
      </c>
      <c r="D37">
        <v>3.3</v>
      </c>
      <c r="E37">
        <v>4.5999999999999996</v>
      </c>
      <c r="F37">
        <v>0</v>
      </c>
    </row>
    <row r="38" spans="1:6" x14ac:dyDescent="0.35">
      <c r="A38" s="1" t="s">
        <v>159</v>
      </c>
      <c r="B38">
        <v>12</v>
      </c>
      <c r="C38">
        <v>9.6999999999999993</v>
      </c>
      <c r="D38">
        <v>8.8000000000000007</v>
      </c>
      <c r="E38">
        <v>8</v>
      </c>
      <c r="F38">
        <v>0</v>
      </c>
    </row>
    <row r="39" spans="1:6" x14ac:dyDescent="0.35">
      <c r="A39" s="1" t="s">
        <v>160</v>
      </c>
      <c r="B39">
        <v>19</v>
      </c>
      <c r="C39">
        <v>15.2</v>
      </c>
      <c r="D39">
        <v>13.5</v>
      </c>
      <c r="E39">
        <v>11.5</v>
      </c>
      <c r="F39">
        <v>0</v>
      </c>
    </row>
    <row r="40" spans="1:6" x14ac:dyDescent="0.35">
      <c r="A40" s="1" t="s">
        <v>161</v>
      </c>
      <c r="B40">
        <v>2.7</v>
      </c>
      <c r="C40">
        <v>2.2000000000000002</v>
      </c>
      <c r="D40">
        <v>0</v>
      </c>
      <c r="E40">
        <v>0</v>
      </c>
      <c r="F40">
        <v>0</v>
      </c>
    </row>
    <row r="41" spans="1:6" x14ac:dyDescent="0.35">
      <c r="A41" s="1" t="s">
        <v>162</v>
      </c>
      <c r="B41">
        <v>16.3</v>
      </c>
      <c r="C41">
        <v>13</v>
      </c>
      <c r="D41">
        <v>13.5</v>
      </c>
      <c r="E41">
        <v>11.5</v>
      </c>
      <c r="F41">
        <v>0</v>
      </c>
    </row>
    <row r="42" spans="1:6" x14ac:dyDescent="0.35">
      <c r="A42" s="1" t="s">
        <v>163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5">
      <c r="A43" s="1" t="s">
        <v>164</v>
      </c>
      <c r="B43">
        <v>47.9</v>
      </c>
      <c r="C43">
        <v>38.700000000000003</v>
      </c>
      <c r="D43">
        <v>35.1</v>
      </c>
      <c r="E43">
        <v>31.9</v>
      </c>
      <c r="F43">
        <v>0</v>
      </c>
    </row>
    <row r="44" spans="1:6" x14ac:dyDescent="0.35">
      <c r="B44">
        <v>0</v>
      </c>
      <c r="C44">
        <v>0</v>
      </c>
      <c r="D44">
        <v>0</v>
      </c>
      <c r="E44">
        <v>0</v>
      </c>
      <c r="F4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7"/>
  <sheetViews>
    <sheetView workbookViewId="0">
      <selection activeCell="J29" sqref="J29"/>
    </sheetView>
  </sheetViews>
  <sheetFormatPr defaultRowHeight="14.5" x14ac:dyDescent="0.35"/>
  <cols>
    <col min="1" max="1" width="20.26953125" customWidth="1"/>
    <col min="2" max="2" width="13.6328125" customWidth="1"/>
    <col min="3" max="3" width="11.36328125" customWidth="1"/>
    <col min="4" max="4" width="18.54296875" customWidth="1"/>
    <col min="5" max="5" width="14.90625" customWidth="1"/>
    <col min="6" max="6" width="14.7265625" customWidth="1"/>
    <col min="7" max="7" width="10.6328125" customWidth="1"/>
    <col min="8" max="8" width="12.54296875" customWidth="1"/>
  </cols>
  <sheetData>
    <row r="1" spans="1:8" x14ac:dyDescent="0.35">
      <c r="A1" s="1" t="s">
        <v>165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/>
    </row>
    <row r="2" spans="1:8" x14ac:dyDescent="0.35">
      <c r="A2" s="2">
        <v>44927</v>
      </c>
      <c r="B2" s="3">
        <v>5.1462610093246504</v>
      </c>
      <c r="C2" s="3">
        <v>5.6661297264991974</v>
      </c>
      <c r="D2" s="3">
        <v>5.1375239405272044</v>
      </c>
      <c r="E2" s="3">
        <v>5.5219645500183114</v>
      </c>
      <c r="F2">
        <v>1510588</v>
      </c>
      <c r="G2" s="3">
        <v>0</v>
      </c>
    </row>
    <row r="3" spans="1:8" x14ac:dyDescent="0.35">
      <c r="A3" s="2">
        <v>44958</v>
      </c>
      <c r="B3" s="3">
        <v>5.5219652320910031</v>
      </c>
      <c r="C3" s="3">
        <v>5.9413550018273611</v>
      </c>
      <c r="D3" s="3">
        <v>5.2860585126534438</v>
      </c>
      <c r="E3" s="3">
        <v>5.6530241966247559</v>
      </c>
      <c r="F3">
        <v>2412455</v>
      </c>
      <c r="G3" s="3">
        <v>0</v>
      </c>
    </row>
    <row r="4" spans="1:8" x14ac:dyDescent="0.35">
      <c r="A4" s="2">
        <v>44986</v>
      </c>
      <c r="B4" s="3">
        <v>5.648655205913534</v>
      </c>
      <c r="C4" s="3">
        <v>5.9195110062670118</v>
      </c>
      <c r="D4" s="3">
        <v>5.0851003081435371</v>
      </c>
      <c r="E4" s="3">
        <v>5.8714556694030762</v>
      </c>
      <c r="F4">
        <v>2117468</v>
      </c>
      <c r="G4" s="3">
        <v>0</v>
      </c>
    </row>
    <row r="5" spans="1:8" x14ac:dyDescent="0.35">
      <c r="A5" s="2">
        <v>45017</v>
      </c>
      <c r="B5" s="3">
        <v>5.8758244558233548</v>
      </c>
      <c r="C5" s="3">
        <v>6.1816293671006362</v>
      </c>
      <c r="D5" s="3">
        <v>5.5307016928655486</v>
      </c>
      <c r="E5" s="3">
        <v>6.1292057037353516</v>
      </c>
      <c r="F5">
        <v>1844187</v>
      </c>
      <c r="G5" s="3">
        <v>0</v>
      </c>
    </row>
    <row r="6" spans="1:8" x14ac:dyDescent="0.35">
      <c r="A6" s="2">
        <v>45047</v>
      </c>
      <c r="B6" s="3">
        <v>6.1292057111996643</v>
      </c>
      <c r="C6" s="3">
        <v>6.4481168511763256</v>
      </c>
      <c r="D6" s="3">
        <v>6.0330958698927173</v>
      </c>
      <c r="E6" s="3">
        <v>6.216578483581543</v>
      </c>
      <c r="F6">
        <v>2362442</v>
      </c>
      <c r="G6" s="3">
        <v>0.17</v>
      </c>
    </row>
    <row r="7" spans="1:8" x14ac:dyDescent="0.35">
      <c r="A7" s="2">
        <v>45078</v>
      </c>
      <c r="B7" s="3">
        <v>6.3665887569400663</v>
      </c>
      <c r="C7" s="3">
        <v>6.6976696034719074</v>
      </c>
      <c r="D7" s="3">
        <v>6.1294636374978397</v>
      </c>
      <c r="E7" s="3">
        <v>6.4784402847290039</v>
      </c>
      <c r="F7">
        <v>2668954</v>
      </c>
      <c r="G7" s="3">
        <v>0</v>
      </c>
    </row>
    <row r="8" spans="1:8" x14ac:dyDescent="0.35">
      <c r="A8" s="2">
        <v>45108</v>
      </c>
      <c r="B8" s="3">
        <v>6.4784398277097477</v>
      </c>
      <c r="C8" s="3">
        <v>6.7558319725359333</v>
      </c>
      <c r="D8" s="3">
        <v>6.2010481095632501</v>
      </c>
      <c r="E8" s="3">
        <v>6.652928352355957</v>
      </c>
      <c r="F8">
        <v>1331691</v>
      </c>
      <c r="G8" s="3">
        <v>0</v>
      </c>
    </row>
    <row r="9" spans="1:8" x14ac:dyDescent="0.35">
      <c r="A9" s="2">
        <v>45139</v>
      </c>
      <c r="B9" s="3">
        <v>6.6529283522124123</v>
      </c>
      <c r="C9" s="3">
        <v>6.688720804444757</v>
      </c>
      <c r="D9" s="3">
        <v>6.0310337479859744</v>
      </c>
      <c r="E9" s="3">
        <v>6.657402515411377</v>
      </c>
      <c r="F9">
        <v>1314106</v>
      </c>
      <c r="G9" s="3">
        <v>0</v>
      </c>
    </row>
    <row r="10" spans="1:8" x14ac:dyDescent="0.35">
      <c r="A10" s="2">
        <v>45170</v>
      </c>
      <c r="B10" s="3">
        <v>6.6216104629222876</v>
      </c>
      <c r="C10" s="3">
        <v>7.2524525782709004</v>
      </c>
      <c r="D10" s="3">
        <v>6.2055226472526659</v>
      </c>
      <c r="E10" s="3">
        <v>7.2077126502990723</v>
      </c>
      <c r="F10">
        <v>3120943</v>
      </c>
      <c r="G10" s="3">
        <v>0</v>
      </c>
    </row>
    <row r="11" spans="1:8" x14ac:dyDescent="0.35">
      <c r="A11" s="2">
        <v>45200</v>
      </c>
      <c r="B11" s="3">
        <v>7.2121857258466244</v>
      </c>
      <c r="C11" s="3">
        <v>7.3464071962343303</v>
      </c>
      <c r="D11" s="3">
        <v>6.7871496473533952</v>
      </c>
      <c r="E11" s="3">
        <v>7.0734896659851074</v>
      </c>
      <c r="F11">
        <v>1751255</v>
      </c>
      <c r="G11" s="3">
        <v>0.17</v>
      </c>
    </row>
    <row r="12" spans="1:8" x14ac:dyDescent="0.35">
      <c r="A12" s="2">
        <v>45231</v>
      </c>
      <c r="B12" s="3">
        <v>7.200919306734046</v>
      </c>
      <c r="C12" s="3">
        <v>7.969017505645752</v>
      </c>
      <c r="D12" s="3">
        <v>6.9951788423172871</v>
      </c>
      <c r="E12" s="3">
        <v>7.969017505645752</v>
      </c>
      <c r="F12">
        <v>2005508</v>
      </c>
      <c r="G12" s="3">
        <v>0</v>
      </c>
    </row>
    <row r="13" spans="1:8" x14ac:dyDescent="0.35">
      <c r="A13" s="2">
        <v>45261</v>
      </c>
      <c r="B13" s="3">
        <v>7.9690179184063608</v>
      </c>
      <c r="C13" s="3">
        <v>8.2936303869749697</v>
      </c>
      <c r="D13" s="3">
        <v>7.6078285127168268</v>
      </c>
      <c r="E13" s="3">
        <v>8.1747579574584961</v>
      </c>
      <c r="F13">
        <v>1782080</v>
      </c>
      <c r="G13" s="3">
        <v>0</v>
      </c>
    </row>
    <row r="14" spans="1:8" x14ac:dyDescent="0.35">
      <c r="A14" s="2">
        <v>45292</v>
      </c>
      <c r="B14" s="3">
        <v>8.1747569393334292</v>
      </c>
      <c r="C14" s="3">
        <v>8.2707696432335993</v>
      </c>
      <c r="D14" s="3">
        <v>7.4569512065357673</v>
      </c>
      <c r="E14" s="3">
        <v>8.1564693450927734</v>
      </c>
      <c r="F14">
        <v>5412194</v>
      </c>
      <c r="G14" s="3">
        <v>0</v>
      </c>
    </row>
    <row r="15" spans="1:8" x14ac:dyDescent="0.35">
      <c r="A15" s="2">
        <v>45323</v>
      </c>
      <c r="B15" s="3">
        <v>8.1518978262950856</v>
      </c>
      <c r="C15" s="3">
        <v>8.700539646419406</v>
      </c>
      <c r="D15" s="3">
        <v>7.905009617668636</v>
      </c>
      <c r="E15" s="3">
        <v>8.6776790618896484</v>
      </c>
      <c r="F15">
        <v>3880747</v>
      </c>
      <c r="G15" s="3">
        <v>0</v>
      </c>
    </row>
    <row r="16" spans="1:8" x14ac:dyDescent="0.35">
      <c r="A16" s="2">
        <v>45352</v>
      </c>
      <c r="B16" s="3">
        <v>8.6456746998455678</v>
      </c>
      <c r="C16" s="3">
        <v>9.1806001435290749</v>
      </c>
      <c r="D16" s="3">
        <v>7.7724204697700641</v>
      </c>
      <c r="E16" s="3">
        <v>9.0571556091308594</v>
      </c>
      <c r="F16">
        <v>2447439</v>
      </c>
      <c r="G16" s="3">
        <v>0</v>
      </c>
    </row>
    <row r="17" spans="1:7" x14ac:dyDescent="0.35">
      <c r="A17" s="2">
        <v>45383</v>
      </c>
      <c r="B17" s="3">
        <v>9.0571556606724215</v>
      </c>
      <c r="C17" s="3">
        <v>9.400056565701858</v>
      </c>
      <c r="D17" s="3">
        <v>8.3850702007498779</v>
      </c>
      <c r="E17" s="3">
        <v>9.3451929092407227</v>
      </c>
      <c r="F17">
        <v>2325194</v>
      </c>
      <c r="G17" s="3">
        <v>0</v>
      </c>
    </row>
    <row r="18" spans="1:7" x14ac:dyDescent="0.35">
      <c r="A18" s="2">
        <v>45413</v>
      </c>
      <c r="B18" s="3">
        <v>9.3451923558684218</v>
      </c>
      <c r="C18" s="3">
        <v>9.9669853671805857</v>
      </c>
      <c r="D18" s="3">
        <v>9.0983033002864691</v>
      </c>
      <c r="E18" s="3">
        <v>9.6652326583862305</v>
      </c>
      <c r="F18">
        <v>2076051</v>
      </c>
      <c r="G18" s="3">
        <v>0.19</v>
      </c>
    </row>
    <row r="19" spans="1:7" x14ac:dyDescent="0.35">
      <c r="A19" s="2">
        <v>45444</v>
      </c>
      <c r="B19" s="3">
        <v>9.8413023110493363</v>
      </c>
      <c r="C19" s="3">
        <v>10.064757349435981</v>
      </c>
      <c r="D19" s="3">
        <v>9.3105984817277694</v>
      </c>
      <c r="E19" s="3">
        <v>9.3850831985473633</v>
      </c>
      <c r="F19">
        <v>1942619</v>
      </c>
      <c r="G19" s="3">
        <v>0</v>
      </c>
    </row>
    <row r="20" spans="1:7" x14ac:dyDescent="0.35">
      <c r="A20" s="2">
        <v>45474</v>
      </c>
      <c r="B20" s="3">
        <v>9.385082447635714</v>
      </c>
      <c r="C20" s="3">
        <v>9.7016429127545347</v>
      </c>
      <c r="D20" s="3">
        <v>8.8776547999472122</v>
      </c>
      <c r="E20" s="3">
        <v>9.45025634765625</v>
      </c>
      <c r="F20">
        <v>1743197</v>
      </c>
      <c r="G20" s="3">
        <v>0</v>
      </c>
    </row>
    <row r="21" spans="1:7" x14ac:dyDescent="0.35">
      <c r="A21" s="2">
        <v>45505</v>
      </c>
      <c r="B21" s="3">
        <v>9.4409460361950757</v>
      </c>
      <c r="C21" s="3">
        <v>9.8133695751676058</v>
      </c>
      <c r="D21" s="3">
        <v>8.7193742085351342</v>
      </c>
      <c r="E21" s="3">
        <v>9.571293830871582</v>
      </c>
      <c r="F21">
        <v>1700419</v>
      </c>
      <c r="G21" s="3">
        <v>0</v>
      </c>
    </row>
    <row r="22" spans="1:7" x14ac:dyDescent="0.35">
      <c r="A22" s="2">
        <v>45536</v>
      </c>
      <c r="B22" s="3">
        <v>9.5712931283761602</v>
      </c>
      <c r="C22" s="3">
        <v>9.5712931283761602</v>
      </c>
      <c r="D22" s="3">
        <v>8.6681658906718368</v>
      </c>
      <c r="E22" s="3">
        <v>8.9893808364868164</v>
      </c>
      <c r="F22">
        <v>1952973</v>
      </c>
      <c r="G22" s="3">
        <v>0</v>
      </c>
    </row>
    <row r="23" spans="1:7" x14ac:dyDescent="0.35">
      <c r="A23" s="2">
        <v>45566</v>
      </c>
      <c r="B23" s="3">
        <v>8.9893815352607849</v>
      </c>
      <c r="C23" s="3">
        <v>9.2128365475412259</v>
      </c>
      <c r="D23" s="3">
        <v>8.4912647167516919</v>
      </c>
      <c r="E23" s="3">
        <v>8.5890264511108398</v>
      </c>
      <c r="F23">
        <v>1380177</v>
      </c>
      <c r="G23" s="3">
        <v>0.19</v>
      </c>
    </row>
    <row r="24" spans="1:7" x14ac:dyDescent="0.35">
      <c r="A24" s="2">
        <v>45597</v>
      </c>
      <c r="B24" s="3">
        <v>8.7402926235763729</v>
      </c>
      <c r="C24" s="3">
        <v>8.8494867202138412</v>
      </c>
      <c r="D24" s="3">
        <v>8.4032149586010156</v>
      </c>
      <c r="E24" s="3">
        <v>8.5598850250244141</v>
      </c>
      <c r="F24">
        <v>1334354</v>
      </c>
      <c r="G24" s="3">
        <v>0</v>
      </c>
    </row>
    <row r="25" spans="1:7" x14ac:dyDescent="0.35">
      <c r="A25" s="2">
        <v>45627</v>
      </c>
      <c r="B25" s="3">
        <v>8.5598846351275171</v>
      </c>
      <c r="C25" s="3">
        <v>10.007895761705161</v>
      </c>
      <c r="D25" s="3">
        <v>8.5171563548193063</v>
      </c>
      <c r="E25" s="3">
        <v>9.7040510177612305</v>
      </c>
      <c r="F25">
        <v>1995321</v>
      </c>
      <c r="G25" s="3">
        <v>0</v>
      </c>
    </row>
    <row r="26" spans="1:7" x14ac:dyDescent="0.35">
      <c r="A26" s="2">
        <v>45658</v>
      </c>
      <c r="B26" s="3">
        <v>9.7325365491270013</v>
      </c>
      <c r="C26" s="3">
        <v>10.007896083564081</v>
      </c>
      <c r="D26" s="3">
        <v>9.1058562918239172</v>
      </c>
      <c r="E26" s="3">
        <v>9.7135457992553711</v>
      </c>
      <c r="F26">
        <v>2358411</v>
      </c>
      <c r="G26" s="3">
        <v>0</v>
      </c>
    </row>
    <row r="27" spans="1:7" x14ac:dyDescent="0.35">
      <c r="A27" s="2">
        <v>45689</v>
      </c>
      <c r="B27" s="3">
        <v>9.5711188669720073</v>
      </c>
      <c r="C27" s="3">
        <v>9.6945560254493373</v>
      </c>
      <c r="D27" s="3">
        <v>9.3337399250222468</v>
      </c>
      <c r="E27" s="3">
        <v>9.4286918640136719</v>
      </c>
      <c r="F27">
        <v>2006696</v>
      </c>
      <c r="G27" s="3">
        <v>0</v>
      </c>
    </row>
    <row r="28" spans="1:7" x14ac:dyDescent="0.35">
      <c r="A28" s="2">
        <v>45717</v>
      </c>
      <c r="B28" s="3">
        <v>9.4286915441227048</v>
      </c>
      <c r="C28" s="3">
        <v>12.02086906761442</v>
      </c>
      <c r="D28" s="3">
        <v>9.3717202015549788</v>
      </c>
      <c r="E28" s="3">
        <v>10.795993804931641</v>
      </c>
      <c r="F28">
        <v>2205967</v>
      </c>
      <c r="G28" s="3">
        <v>0</v>
      </c>
    </row>
    <row r="29" spans="1:7" x14ac:dyDescent="0.35">
      <c r="A29" s="2">
        <v>45748</v>
      </c>
      <c r="B29" s="3">
        <v>10.79599450710732</v>
      </c>
      <c r="C29" s="3">
        <v>11.90692806243896</v>
      </c>
      <c r="D29" s="3">
        <v>9.6850609517756698</v>
      </c>
      <c r="E29" s="3">
        <v>11.90692806243896</v>
      </c>
      <c r="F29">
        <v>2598329</v>
      </c>
      <c r="G29" s="3">
        <v>0</v>
      </c>
    </row>
    <row r="30" spans="1:7" x14ac:dyDescent="0.35">
      <c r="A30" s="2">
        <v>45778</v>
      </c>
      <c r="B30" s="3">
        <v>11.906927956243139</v>
      </c>
      <c r="C30" s="3">
        <v>12.79947239935084</v>
      </c>
      <c r="D30" s="3">
        <v>11.76450095012375</v>
      </c>
      <c r="E30" s="3">
        <v>12.372190475463871</v>
      </c>
      <c r="F30">
        <v>1584639</v>
      </c>
      <c r="G30" s="3">
        <v>0.35</v>
      </c>
    </row>
    <row r="31" spans="1:7" x14ac:dyDescent="0.35">
      <c r="A31" s="2">
        <v>45809</v>
      </c>
      <c r="B31" s="3">
        <v>12.709964848935231</v>
      </c>
      <c r="C31" s="3">
        <v>13.8317198104484</v>
      </c>
      <c r="D31" s="3">
        <v>12.241754761878109</v>
      </c>
      <c r="E31" s="3">
        <v>12.72947406768799</v>
      </c>
      <c r="F31">
        <v>2183751</v>
      </c>
      <c r="G31" s="3">
        <v>0</v>
      </c>
    </row>
    <row r="32" spans="1:7" x14ac:dyDescent="0.35">
      <c r="A32" s="2">
        <v>45839</v>
      </c>
      <c r="B32" s="3">
        <v>12.729473934056511</v>
      </c>
      <c r="C32" s="3">
        <v>13.441543666543399</v>
      </c>
      <c r="D32" s="3">
        <v>12.485614283711559</v>
      </c>
      <c r="E32" s="3">
        <v>13.3537540435791</v>
      </c>
      <c r="F32">
        <v>1319827</v>
      </c>
      <c r="G32" s="3">
        <v>0</v>
      </c>
    </row>
    <row r="33" spans="1:7" x14ac:dyDescent="0.35">
      <c r="A33" s="2">
        <v>45870</v>
      </c>
      <c r="B33" s="3">
        <v>13.353754426848701</v>
      </c>
      <c r="C33" s="3">
        <v>13.52933367781665</v>
      </c>
      <c r="D33" s="3">
        <v>12.836772213749571</v>
      </c>
      <c r="E33" s="3">
        <v>13.002596855163571</v>
      </c>
      <c r="F33">
        <v>1306244</v>
      </c>
      <c r="G33" s="3">
        <v>0</v>
      </c>
    </row>
    <row r="34" spans="1:7" x14ac:dyDescent="0.35">
      <c r="A34" s="2">
        <v>45901</v>
      </c>
      <c r="B34" s="3">
        <v>13.002596209411919</v>
      </c>
      <c r="C34" s="3">
        <v>14.914455865249909</v>
      </c>
      <c r="D34" s="3">
        <v>12.63192943702744</v>
      </c>
      <c r="E34" s="3">
        <v>14.475508689880369</v>
      </c>
      <c r="F34">
        <v>2424052</v>
      </c>
      <c r="G34" s="3">
        <v>0</v>
      </c>
    </row>
    <row r="35" spans="1:7" x14ac:dyDescent="0.35">
      <c r="A35" s="2">
        <v>45931</v>
      </c>
      <c r="B35" s="3">
        <v>14.47550879137941</v>
      </c>
      <c r="C35" s="3">
        <v>14.56329841311902</v>
      </c>
      <c r="D35" s="3">
        <v>13.568350607071039</v>
      </c>
      <c r="E35" s="3">
        <v>13.85122776031494</v>
      </c>
      <c r="F35">
        <v>1432483</v>
      </c>
      <c r="G35" s="3">
        <v>0.35</v>
      </c>
    </row>
    <row r="36" spans="1:7" x14ac:dyDescent="0.35">
      <c r="A36" s="2">
        <v>45962</v>
      </c>
      <c r="B36" s="3">
        <v>14.19999980926514</v>
      </c>
      <c r="C36" s="3">
        <v>14.819999694824221</v>
      </c>
      <c r="D36" s="3">
        <v>13.829999923706049</v>
      </c>
      <c r="E36" s="3">
        <v>14.760000228881839</v>
      </c>
      <c r="F36">
        <v>1233580</v>
      </c>
      <c r="G36" s="3">
        <v>0</v>
      </c>
    </row>
    <row r="37" spans="1:7" x14ac:dyDescent="0.35">
      <c r="A37" s="2">
        <v>45992</v>
      </c>
      <c r="B37" s="3">
        <v>14.760000228881839</v>
      </c>
      <c r="C37" s="3">
        <v>14.840000152587891</v>
      </c>
      <c r="D37" s="3">
        <v>14.30000019073486</v>
      </c>
      <c r="E37" s="3">
        <v>14.30000019073486</v>
      </c>
      <c r="F37">
        <v>342538</v>
      </c>
      <c r="G3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DCF_Puuilo</vt:lpstr>
      <vt:lpstr>Analyysi</vt:lpstr>
      <vt:lpstr>Tuloslaskelma</vt:lpstr>
      <vt:lpstr>Tase</vt:lpstr>
      <vt:lpstr>Rahavirtalaskelma</vt:lpstr>
      <vt:lpstr>Hinta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Otto Markkola</cp:lastModifiedBy>
  <dcterms:created xsi:type="dcterms:W3CDTF">2025-12-07T21:15:55Z</dcterms:created>
  <dcterms:modified xsi:type="dcterms:W3CDTF">2025-12-25T18:15:36Z</dcterms:modified>
</cp:coreProperties>
</file>